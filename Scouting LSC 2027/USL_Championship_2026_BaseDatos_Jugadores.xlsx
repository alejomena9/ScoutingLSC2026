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Jugadores" sheetId="1" state="visible" r:id="rId3"/>
    <sheet name="Equipos" sheetId="2" state="visible" r:id="rId4"/>
    <sheet name="Nota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<sst xmlns="http://schemas.openxmlformats.org/spreadsheetml/2006/main" count="7093" uniqueCount="2500">
  <si>
    <t xml:space="preserve">ID FotMob</t>
  </si>
  <si>
    <t xml:space="preserve">Jugador</t>
  </si>
  <si>
    <t xml:space="preserve">Club</t>
  </si>
  <si>
    <t xml:space="preserve">Conferencia</t>
  </si>
  <si>
    <t xml:space="preserve">Estado</t>
  </si>
  <si>
    <t xml:space="preserve">Línea</t>
  </si>
  <si>
    <t xml:space="preserve">Pos. principal</t>
  </si>
  <si>
    <t xml:space="preserve">Posiciones FotMob</t>
  </si>
  <si>
    <t xml:space="preserve">Dorsal</t>
  </si>
  <si>
    <t xml:space="preserve">Edad</t>
  </si>
  <si>
    <t xml:space="preserve">Nacimiento</t>
  </si>
  <si>
    <t xml:space="preserve">Nacionalidad</t>
  </si>
  <si>
    <t xml:space="preserve">Altura (cm)</t>
  </si>
  <si>
    <t xml:space="preserve">Valor est. FotMob (€)</t>
  </si>
  <si>
    <t xml:space="preserve">Lesionado</t>
  </si>
  <si>
    <t xml:space="preserve">PJ</t>
  </si>
  <si>
    <t xml:space="preserve">Minutos</t>
  </si>
  <si>
    <t xml:space="preserve">Rating FotMob</t>
  </si>
  <si>
    <t xml:space="preserve">MVP partido</t>
  </si>
  <si>
    <t xml:space="preserve">Goles</t>
  </si>
  <si>
    <t xml:space="preserve">Goles de penal</t>
  </si>
  <si>
    <t xml:space="preserve">Asistencias</t>
  </si>
  <si>
    <t xml:space="preserve">G+A</t>
  </si>
  <si>
    <t xml:space="preserve">Goles /90</t>
  </si>
  <si>
    <t xml:space="preserve">Tiros /90</t>
  </si>
  <si>
    <t xml:space="preserve">Tiros a puerta /90</t>
  </si>
  <si>
    <t xml:space="preserve">Conversión tiro %</t>
  </si>
  <si>
    <t xml:space="preserve">Ocasiones claras falladas</t>
  </si>
  <si>
    <t xml:space="preserve">Ocasiones creadas</t>
  </si>
  <si>
    <t xml:space="preserve">Ocasiones creadas /90</t>
  </si>
  <si>
    <t xml:space="preserve">Ocasiones claras creadas</t>
  </si>
  <si>
    <t xml:space="preserve">Pases precisos /90</t>
  </si>
  <si>
    <t xml:space="preserve">Precisión pase %</t>
  </si>
  <si>
    <t xml:space="preserve">Balones largos precisos /90</t>
  </si>
  <si>
    <t xml:space="preserve">Balón largo %</t>
  </si>
  <si>
    <t xml:space="preserve">Regates exitosos /90</t>
  </si>
  <si>
    <t xml:space="preserve">Regate %</t>
  </si>
  <si>
    <t xml:space="preserve">Penales provocados</t>
  </si>
  <si>
    <t xml:space="preserve">Faltas recibidas /90</t>
  </si>
  <si>
    <t xml:space="preserve">Acciones defensivas /90</t>
  </si>
  <si>
    <t xml:space="preserve">Entradas /90</t>
  </si>
  <si>
    <t xml:space="preserve">Intercepciones /90</t>
  </si>
  <si>
    <t xml:space="preserve">Despejes /90</t>
  </si>
  <si>
    <t xml:space="preserve">Bloqueos /90</t>
  </si>
  <si>
    <t xml:space="preserve">Recuperaciones /90</t>
  </si>
  <si>
    <t xml:space="preserve">Recup. último tercio /90</t>
  </si>
  <si>
    <t xml:space="preserve">Recup. medio campo /90</t>
  </si>
  <si>
    <t xml:space="preserve">Faltas cometidas /90</t>
  </si>
  <si>
    <t xml:space="preserve">Amarillas</t>
  </si>
  <si>
    <t xml:space="preserve">Rojas</t>
  </si>
  <si>
    <t xml:space="preserve">Penales cometidos</t>
  </si>
  <si>
    <t xml:space="preserve">Porterías a cero</t>
  </si>
  <si>
    <t xml:space="preserve">Atajadas /90</t>
  </si>
  <si>
    <t xml:space="preserve">% Atajadas</t>
  </si>
  <si>
    <t xml:space="preserve">Goles recibidos /90</t>
  </si>
  <si>
    <t xml:space="preserve">Enlace FotMob</t>
  </si>
  <si>
    <t xml:space="preserve">Jassem Koleilat</t>
  </si>
  <si>
    <t xml:space="preserve">Birmingham Legion FC</t>
  </si>
  <si>
    <t xml:space="preserve">Eastern</t>
  </si>
  <si>
    <t xml:space="preserve">En plantilla</t>
  </si>
  <si>
    <t xml:space="preserve">Portero</t>
  </si>
  <si>
    <t xml:space="preserve">GK</t>
  </si>
  <si>
    <t xml:space="preserve">1999-07-30</t>
  </si>
  <si>
    <t xml:space="preserve">Czechia</t>
  </si>
  <si>
    <t xml:space="preserve">https://www.fotmob.com/players/912343/jassem-koleilat</t>
  </si>
  <si>
    <t xml:space="preserve">Trevor McMullen</t>
  </si>
  <si>
    <t xml:space="preserve">2002-01-23</t>
  </si>
  <si>
    <t xml:space="preserve">USA</t>
  </si>
  <si>
    <t xml:space="preserve">https://www.fotmob.com/players/1804493/trevor-mcmullen</t>
  </si>
  <si>
    <t xml:space="preserve">Dawson McCartney</t>
  </si>
  <si>
    <t xml:space="preserve">Defensa</t>
  </si>
  <si>
    <t xml:space="preserve">LB</t>
  </si>
  <si>
    <t xml:space="preserve">1998-10-15</t>
  </si>
  <si>
    <t xml:space="preserve">https://www.fotmob.com/players/1368657/dawson-mccartney</t>
  </si>
  <si>
    <t xml:space="preserve">Phanuel Kavita</t>
  </si>
  <si>
    <t xml:space="preserve">CB</t>
  </si>
  <si>
    <t xml:space="preserve">1993-03-09</t>
  </si>
  <si>
    <t xml:space="preserve">Rwanda</t>
  </si>
  <si>
    <t xml:space="preserve">https://www.fotmob.com/players/621906/phanuel-kavita</t>
  </si>
  <si>
    <t xml:space="preserve">Bryce Washington</t>
  </si>
  <si>
    <t xml:space="preserve">1998-09-12</t>
  </si>
  <si>
    <t xml:space="preserve">https://www.fotmob.com/players/1262891/bryce-washington</t>
  </si>
  <si>
    <t xml:space="preserve">Nico Brown</t>
  </si>
  <si>
    <t xml:space="preserve">LB,RB,RM</t>
  </si>
  <si>
    <t xml:space="preserve">1998-08-11</t>
  </si>
  <si>
    <t xml:space="preserve">Jamaica</t>
  </si>
  <si>
    <t xml:space="preserve">https://www.fotmob.com/players/1252148/nico-brown</t>
  </si>
  <si>
    <t xml:space="preserve">Hamady Diop</t>
  </si>
  <si>
    <t xml:space="preserve">2001-12-26</t>
  </si>
  <si>
    <t xml:space="preserve">Senegal</t>
  </si>
  <si>
    <t xml:space="preserve">https://www.fotmob.com/players/1439803/hamady-diop</t>
  </si>
  <si>
    <t xml:space="preserve">Amir Daley</t>
  </si>
  <si>
    <t xml:space="preserve">RB</t>
  </si>
  <si>
    <t xml:space="preserve">RB,RWB,RM,LB</t>
  </si>
  <si>
    <t xml:space="preserve">2002-02-26</t>
  </si>
  <si>
    <t xml:space="preserve">Antigua and Barbuda</t>
  </si>
  <si>
    <t xml:space="preserve">https://www.fotmob.com/players/1624479/amir-daley</t>
  </si>
  <si>
    <t xml:space="preserve">AJ Paterson</t>
  </si>
  <si>
    <t xml:space="preserve">1996-01-31</t>
  </si>
  <si>
    <t xml:space="preserve">Grenada</t>
  </si>
  <si>
    <t xml:space="preserve">https://www.fotmob.com/players/1059682/aj-paterson</t>
  </si>
  <si>
    <t xml:space="preserve">Seth Antwi</t>
  </si>
  <si>
    <t xml:space="preserve">Mediocampista</t>
  </si>
  <si>
    <t xml:space="preserve">CDM</t>
  </si>
  <si>
    <t xml:space="preserve">1999-11-09</t>
  </si>
  <si>
    <t xml:space="preserve">Ghana</t>
  </si>
  <si>
    <t xml:space="preserve">https://www.fotmob.com/players/1682447/seth-antwi</t>
  </si>
  <si>
    <t xml:space="preserve">Samuel Shashoua</t>
  </si>
  <si>
    <t xml:space="preserve">CDM,CAM</t>
  </si>
  <si>
    <t xml:space="preserve">1999-05-13</t>
  </si>
  <si>
    <t xml:space="preserve">England</t>
  </si>
  <si>
    <t xml:space="preserve">https://www.fotmob.com/players/847603/samuel-shashoua</t>
  </si>
  <si>
    <t xml:space="preserve">Tyler Pasher</t>
  </si>
  <si>
    <t xml:space="preserve">CAM</t>
  </si>
  <si>
    <t xml:space="preserve">CAM,RW</t>
  </si>
  <si>
    <t xml:space="preserve">1994-04-27</t>
  </si>
  <si>
    <t xml:space="preserve">Canada</t>
  </si>
  <si>
    <t xml:space="preserve">https://www.fotmob.com/players/530617/tyler-pasher</t>
  </si>
  <si>
    <t xml:space="preserve">Peter-Lee Vassell</t>
  </si>
  <si>
    <t xml:space="preserve">CAM,RW,CM</t>
  </si>
  <si>
    <t xml:space="preserve">1998-02-03</t>
  </si>
  <si>
    <t xml:space="preserve">https://www.fotmob.com/players/932131/peter-lee-vassell</t>
  </si>
  <si>
    <t xml:space="preserve">Samuel McIllhatton</t>
  </si>
  <si>
    <t xml:space="preserve">CDM,CM</t>
  </si>
  <si>
    <t xml:space="preserve">1998-06-29</t>
  </si>
  <si>
    <t xml:space="preserve">Australia</t>
  </si>
  <si>
    <t xml:space="preserve">https://www.fotmob.com/players/860928/samuel-mcillhatton</t>
  </si>
  <si>
    <t xml:space="preserve">Kadeem Cole</t>
  </si>
  <si>
    <t xml:space="preserve">CDM,CM,CB</t>
  </si>
  <si>
    <t xml:space="preserve">1999-05-12</t>
  </si>
  <si>
    <t xml:space="preserve">Nicaragua</t>
  </si>
  <si>
    <t xml:space="preserve">https://www.fotmob.com/players/1431704/kadeem-cole</t>
  </si>
  <si>
    <t xml:space="preserve">Serge Ngoma</t>
  </si>
  <si>
    <t xml:space="preserve">RW</t>
  </si>
  <si>
    <t xml:space="preserve">2005-07-09</t>
  </si>
  <si>
    <t xml:space="preserve">https://www.fotmob.com/players/1190660/serge-ngoma</t>
  </si>
  <si>
    <t xml:space="preserve">Gevork Diarbian</t>
  </si>
  <si>
    <t xml:space="preserve">Delantero</t>
  </si>
  <si>
    <t xml:space="preserve">LW</t>
  </si>
  <si>
    <t xml:space="preserve">2001-12-12</t>
  </si>
  <si>
    <t xml:space="preserve">https://www.fotmob.com/players/1637902/gevork-diarbian</t>
  </si>
  <si>
    <t xml:space="preserve">Sebastian Tregarthen</t>
  </si>
  <si>
    <t xml:space="preserve">RW,RB</t>
  </si>
  <si>
    <t xml:space="preserve">2000-07-05</t>
  </si>
  <si>
    <t xml:space="preserve">Uruguay</t>
  </si>
  <si>
    <t xml:space="preserve">https://www.fotmob.com/players/1662187/sebastian-tregarthen</t>
  </si>
  <si>
    <t xml:space="preserve">Ronaldo Damus</t>
  </si>
  <si>
    <t xml:space="preserve">ST</t>
  </si>
  <si>
    <t xml:space="preserve">1999-09-12</t>
  </si>
  <si>
    <t xml:space="preserve">Haiti</t>
  </si>
  <si>
    <t xml:space="preserve">https://www.fotmob.com/players/790332/ronaldo-damus</t>
  </si>
  <si>
    <t xml:space="preserve">Romario Williams</t>
  </si>
  <si>
    <t xml:space="preserve">1994-08-15</t>
  </si>
  <si>
    <t xml:space="preserve">https://www.fotmob.com/players/621524/romario-williams</t>
  </si>
  <si>
    <t xml:space="preserve">Sebastián Saucedo</t>
  </si>
  <si>
    <t xml:space="preserve">1997-01-22</t>
  </si>
  <si>
    <t xml:space="preserve">https://www.fotmob.com/players/622027/sebastian-saucedo</t>
  </si>
  <si>
    <t xml:space="preserve">Jonathan Hernandez</t>
  </si>
  <si>
    <t xml:space="preserve">2008-06-07</t>
  </si>
  <si>
    <t xml:space="preserve">https://www.fotmob.com/players/1780513/jonathan-hernandez</t>
  </si>
  <si>
    <t xml:space="preserve">Jaylen Lester</t>
  </si>
  <si>
    <t xml:space="preserve">2008-04-30</t>
  </si>
  <si>
    <t xml:space="preserve">https://www.fotmob.com/players/1781517/jaylen-lester</t>
  </si>
  <si>
    <t xml:space="preserve">Lukas Burns</t>
  </si>
  <si>
    <t xml:space="preserve">Brooklyn</t>
  </si>
  <si>
    <t xml:space="preserve">2002-05-14</t>
  </si>
  <si>
    <t xml:space="preserve">https://www.fotmob.com/players/1171002/lukas-burns</t>
  </si>
  <si>
    <t xml:space="preserve">Jackson Lee</t>
  </si>
  <si>
    <t xml:space="preserve">2001-09-10</t>
  </si>
  <si>
    <t xml:space="preserve">https://www.fotmob.com/players/928437/jackson-lee</t>
  </si>
  <si>
    <t xml:space="preserve">Thomas Vancaeyezeele</t>
  </si>
  <si>
    <t xml:space="preserve">CB,RB,CDM</t>
  </si>
  <si>
    <t xml:space="preserve">1994-07-27</t>
  </si>
  <si>
    <t xml:space="preserve">French Guiana</t>
  </si>
  <si>
    <t xml:space="preserve">https://www.fotmob.com/players/936220/thomas-vancaeyezeele</t>
  </si>
  <si>
    <t xml:space="preserve">Gabriel Alves</t>
  </si>
  <si>
    <t xml:space="preserve">LB,CB</t>
  </si>
  <si>
    <t xml:space="preserve">1999-02-10</t>
  </si>
  <si>
    <t xml:space="preserve">Brazil</t>
  </si>
  <si>
    <t xml:space="preserve">https://www.fotmob.com/players/1447526/gabriel-alves</t>
  </si>
  <si>
    <t xml:space="preserve">Vuk Latinovich</t>
  </si>
  <si>
    <t xml:space="preserve">1997-09-14</t>
  </si>
  <si>
    <t xml:space="preserve">Serbia</t>
  </si>
  <si>
    <t xml:space="preserve">https://www.fotmob.com/players/1248123/vuk-latinovich</t>
  </si>
  <si>
    <t xml:space="preserve">Callum Frogson</t>
  </si>
  <si>
    <t xml:space="preserve">CB,RB,LB</t>
  </si>
  <si>
    <t xml:space="preserve">2003-10-11</t>
  </si>
  <si>
    <t xml:space="preserve">https://www.fotmob.com/players/1935110/callum-frogson</t>
  </si>
  <si>
    <t xml:space="preserve">Ryan McLaughlin</t>
  </si>
  <si>
    <t xml:space="preserve">RB,RM</t>
  </si>
  <si>
    <t xml:space="preserve">1994-09-30</t>
  </si>
  <si>
    <t xml:space="preserve">Northern Ireland</t>
  </si>
  <si>
    <t xml:space="preserve">https://www.fotmob.com/players/388894/ryan-mclaughlin</t>
  </si>
  <si>
    <t xml:space="preserve">Rocco Romeo</t>
  </si>
  <si>
    <t xml:space="preserve">2000-03-25</t>
  </si>
  <si>
    <t xml:space="preserve">https://www.fotmob.com/players/1024286/rocco-romeo</t>
  </si>
  <si>
    <t xml:space="preserve">So Nishikawa</t>
  </si>
  <si>
    <t xml:space="preserve">2001-06-18</t>
  </si>
  <si>
    <t xml:space="preserve">Japan</t>
  </si>
  <si>
    <t xml:space="preserve">https://www.fotmob.com/players/1138224/so-nishikawa</t>
  </si>
  <si>
    <t xml:space="preserve">Taimu Okiyoshi</t>
  </si>
  <si>
    <t xml:space="preserve">2001-09-05</t>
  </si>
  <si>
    <t xml:space="preserve">https://www.fotmob.com/players/1724754/taimu-okiyoshi</t>
  </si>
  <si>
    <t xml:space="preserve">Tommy McNamara</t>
  </si>
  <si>
    <t xml:space="preserve">CDM,CAM,CM</t>
  </si>
  <si>
    <t xml:space="preserve">1991-02-06</t>
  </si>
  <si>
    <t xml:space="preserve">https://www.fotmob.com/players/526485/tommy-mcnamara</t>
  </si>
  <si>
    <t xml:space="preserve">Malik Pinto</t>
  </si>
  <si>
    <t xml:space="preserve">CDM,RB,CM</t>
  </si>
  <si>
    <t xml:space="preserve">2002-08-09</t>
  </si>
  <si>
    <t xml:space="preserve">https://www.fotmob.com/players/1440048/malik-pinto</t>
  </si>
  <si>
    <t xml:space="preserve">Jaden Servania</t>
  </si>
  <si>
    <t xml:space="preserve">CAM,RW,LW</t>
  </si>
  <si>
    <t xml:space="preserve">2001-07-16</t>
  </si>
  <si>
    <t xml:space="preserve">Puerto Rico</t>
  </si>
  <si>
    <t xml:space="preserve">https://www.fotmob.com/players/1170973/jaden-servania</t>
  </si>
  <si>
    <t xml:space="preserve">Peter Mangione</t>
  </si>
  <si>
    <t xml:space="preserve">CAM,CDM,RB,ST</t>
  </si>
  <si>
    <t xml:space="preserve">2001-08-25</t>
  </si>
  <si>
    <t xml:space="preserve">https://www.fotmob.com/players/1639626/peter-mangione</t>
  </si>
  <si>
    <t xml:space="preserve">John Klein</t>
  </si>
  <si>
    <t xml:space="preserve">LM</t>
  </si>
  <si>
    <t xml:space="preserve">LM,CDM</t>
  </si>
  <si>
    <t xml:space="preserve">1999-11-07</t>
  </si>
  <si>
    <t xml:space="preserve">https://www.fotmob.com/players/1460074/john-klein</t>
  </si>
  <si>
    <t xml:space="preserve">Anthony Fontana</t>
  </si>
  <si>
    <t xml:space="preserve">1999-10-14</t>
  </si>
  <si>
    <t xml:space="preserve">https://www.fotmob.com/players/924483/anthony-fontana</t>
  </si>
  <si>
    <t xml:space="preserve">CJ Olney Jr</t>
  </si>
  <si>
    <t xml:space="preserve">LW,CM,LM,CAM,RW</t>
  </si>
  <si>
    <t xml:space="preserve">2006-12-16</t>
  </si>
  <si>
    <t xml:space="preserve">https://www.fotmob.com/players/1455583/cj-olney-jr</t>
  </si>
  <si>
    <t xml:space="preserve">Juan Obregón</t>
  </si>
  <si>
    <t xml:space="preserve">1997-10-29</t>
  </si>
  <si>
    <t xml:space="preserve">Honduras</t>
  </si>
  <si>
    <t xml:space="preserve">https://www.fotmob.com/players/1098593/juan-obregon</t>
  </si>
  <si>
    <t xml:space="preserve">Stefan Stojanovic</t>
  </si>
  <si>
    <t xml:space="preserve">RW,ST,LW</t>
  </si>
  <si>
    <t xml:space="preserve">2001-03-03</t>
  </si>
  <si>
    <t xml:space="preserve">https://www.fotmob.com/players/1346904/stefan-stojanovic</t>
  </si>
  <si>
    <t xml:space="preserve">Abdoulaye Kanté</t>
  </si>
  <si>
    <t xml:space="preserve">RW,LW,ST</t>
  </si>
  <si>
    <t xml:space="preserve">2000-03-04</t>
  </si>
  <si>
    <t xml:space="preserve">France</t>
  </si>
  <si>
    <t xml:space="preserve">https://www.fotmob.com/players/1469822/abdoulaye-kante</t>
  </si>
  <si>
    <t xml:space="preserve">Pierre da Silva</t>
  </si>
  <si>
    <t xml:space="preserve">1998-07-28</t>
  </si>
  <si>
    <t xml:space="preserve">https://www.fotmob.com/players/754584/pierre-da-silva</t>
  </si>
  <si>
    <t xml:space="preserve">Luis Zamudio</t>
  </si>
  <si>
    <t xml:space="preserve">Charleston Battery</t>
  </si>
  <si>
    <t xml:space="preserve">1998-06-24</t>
  </si>
  <si>
    <t xml:space="preserve">https://www.fotmob.com/players/1076859/luis-zamudio</t>
  </si>
  <si>
    <t xml:space="preserve">John Berner</t>
  </si>
  <si>
    <t xml:space="preserve">1991-02-14</t>
  </si>
  <si>
    <t xml:space="preserve">https://www.fotmob.com/players/525646/john-berner</t>
  </si>
  <si>
    <t xml:space="preserve">Daniel Kuzemka</t>
  </si>
  <si>
    <t xml:space="preserve">1998-09-23</t>
  </si>
  <si>
    <t xml:space="preserve">https://www.fotmob.com/players/1368138/daniel-kuzemka</t>
  </si>
  <si>
    <t xml:space="preserve">Cohen Rigsby</t>
  </si>
  <si>
    <t xml:space="preserve">2008-05-28</t>
  </si>
  <si>
    <t xml:space="preserve">https://www.fotmob.com/players/2221954/cohen-rigsby</t>
  </si>
  <si>
    <t xml:space="preserve">Joey Akpunonu</t>
  </si>
  <si>
    <t xml:space="preserve">2001-12-21</t>
  </si>
  <si>
    <t xml:space="preserve">https://www.fotmob.com/players/1440047/joey-akpunonu</t>
  </si>
  <si>
    <t xml:space="preserve">Graham Smith</t>
  </si>
  <si>
    <t xml:space="preserve">1995-11-25</t>
  </si>
  <si>
    <t xml:space="preserve">https://www.fotmob.com/players/924435/graham-smith</t>
  </si>
  <si>
    <t xml:space="preserve">Nathan Messer</t>
  </si>
  <si>
    <t xml:space="preserve">LB,LWB</t>
  </si>
  <si>
    <t xml:space="preserve">2001-07-06</t>
  </si>
  <si>
    <t xml:space="preserve">https://www.fotmob.com/players/1623839/nathan-messer</t>
  </si>
  <si>
    <t xml:space="preserve">Sean Suber</t>
  </si>
  <si>
    <t xml:space="preserve">CB,CDM,RB</t>
  </si>
  <si>
    <t xml:space="preserve">2001-06-13</t>
  </si>
  <si>
    <t xml:space="preserve">https://www.fotmob.com/players/1615774/sean-suber</t>
  </si>
  <si>
    <t xml:space="preserve">Douglas Martínez</t>
  </si>
  <si>
    <t xml:space="preserve">RB,RWB</t>
  </si>
  <si>
    <t xml:space="preserve">1997-06-05</t>
  </si>
  <si>
    <t xml:space="preserve">https://www.fotmob.com/players/844926/douglas-martinez</t>
  </si>
  <si>
    <t xml:space="preserve">Langston Blackstock</t>
  </si>
  <si>
    <t xml:space="preserve">LB,RB,RW,LW</t>
  </si>
  <si>
    <t xml:space="preserve">2000-03-23</t>
  </si>
  <si>
    <t xml:space="preserve">https://www.fotmob.com/players/1448116/langston-blackstock</t>
  </si>
  <si>
    <t xml:space="preserve">Kruz Held</t>
  </si>
  <si>
    <t xml:space="preserve">2008-06-21</t>
  </si>
  <si>
    <t xml:space="preserve">https://www.fotmob.com/players/1781459/kruz-held</t>
  </si>
  <si>
    <t xml:space="preserve">Emilio Ycaza</t>
  </si>
  <si>
    <t xml:space="preserve">CDM,CM,CAM,RW</t>
  </si>
  <si>
    <t xml:space="preserve">1997-07-10</t>
  </si>
  <si>
    <t xml:space="preserve">https://www.fotmob.com/players/1172904/emilio-ycaza</t>
  </si>
  <si>
    <t xml:space="preserve">Kirill Pakhomov</t>
  </si>
  <si>
    <t xml:space="preserve">2001-03-12</t>
  </si>
  <si>
    <t xml:space="preserve">Russia</t>
  </si>
  <si>
    <t xml:space="preserve">https://www.fotmob.com/players/1902106/kirill-pakhomov</t>
  </si>
  <si>
    <t xml:space="preserve">Laurent Kissiedou</t>
  </si>
  <si>
    <t xml:space="preserve">CAM,CDM,CM,RM</t>
  </si>
  <si>
    <t xml:space="preserve">1998-12-22</t>
  </si>
  <si>
    <t xml:space="preserve">Côte d'Ivoire</t>
  </si>
  <si>
    <t xml:space="preserve">https://www.fotmob.com/players/938954/laurent-kissiedou</t>
  </si>
  <si>
    <t xml:space="preserve">Nanan Houssou</t>
  </si>
  <si>
    <t xml:space="preserve">CDM,RB,CM,LWB,LB</t>
  </si>
  <si>
    <t xml:space="preserve">2000-12-28</t>
  </si>
  <si>
    <t xml:space="preserve">https://www.fotmob.com/players/1252861/nanan-houssou</t>
  </si>
  <si>
    <t xml:space="preserve">Chris Allan</t>
  </si>
  <si>
    <t xml:space="preserve">1998-09-27</t>
  </si>
  <si>
    <t xml:space="preserve">https://www.fotmob.com/players/877678/chris-allan</t>
  </si>
  <si>
    <t xml:space="preserve">Jack Wayne</t>
  </si>
  <si>
    <t xml:space="preserve">2008-07-22</t>
  </si>
  <si>
    <t xml:space="preserve">https://www.fotmob.com/players/1921633/jack-wayne</t>
  </si>
  <si>
    <t xml:space="preserve">Briggs Gwozdo</t>
  </si>
  <si>
    <t xml:space="preserve">2009-08-19</t>
  </si>
  <si>
    <t xml:space="preserve">https://www.fotmob.com/players/2205532/briggs-gwozdo</t>
  </si>
  <si>
    <t xml:space="preserve">Jeremy Kelly</t>
  </si>
  <si>
    <t xml:space="preserve">LW,LM,CAM</t>
  </si>
  <si>
    <t xml:space="preserve">1997-10-21</t>
  </si>
  <si>
    <t xml:space="preserve">https://www.fotmob.com/players/1124831/jeremy-kelly</t>
  </si>
  <si>
    <t xml:space="preserve">Miguel Berry</t>
  </si>
  <si>
    <t xml:space="preserve">ST,CAM</t>
  </si>
  <si>
    <t xml:space="preserve">1997-09-16</t>
  </si>
  <si>
    <t xml:space="preserve">Spain</t>
  </si>
  <si>
    <t xml:space="preserve">https://www.fotmob.com/players/1166273/miguel-berry</t>
  </si>
  <si>
    <t xml:space="preserve">Maalique Foster</t>
  </si>
  <si>
    <t xml:space="preserve">RW,RM</t>
  </si>
  <si>
    <t xml:space="preserve">1996-11-05</t>
  </si>
  <si>
    <t xml:space="preserve">https://www.fotmob.com/players/919527/maalique-foster</t>
  </si>
  <si>
    <t xml:space="preserve">Colton Swan</t>
  </si>
  <si>
    <t xml:space="preserve">2007-05-03</t>
  </si>
  <si>
    <t xml:space="preserve">https://www.fotmob.com/players/1666357/colton-swan</t>
  </si>
  <si>
    <t xml:space="preserve">Wilmer Cabrera</t>
  </si>
  <si>
    <t xml:space="preserve">ST,RW,LW,RM</t>
  </si>
  <si>
    <t xml:space="preserve">2000-07-29</t>
  </si>
  <si>
    <t xml:space="preserve">https://www.fotmob.com/players/1047604/wilmer-cabrera</t>
  </si>
  <si>
    <t xml:space="preserve">Alec Hughes</t>
  </si>
  <si>
    <t xml:space="preserve">2002-01-22</t>
  </si>
  <si>
    <t xml:space="preserve">https://www.fotmob.com/players/1518693/alec-hughes</t>
  </si>
  <si>
    <t xml:space="preserve">Camilo Sánchez</t>
  </si>
  <si>
    <t xml:space="preserve">1998-08-12</t>
  </si>
  <si>
    <t xml:space="preserve">Colombia</t>
  </si>
  <si>
    <t xml:space="preserve">https://www.fotmob.com/players/2221955/camilo-sanchez</t>
  </si>
  <si>
    <t xml:space="preserve">Colin Shutler</t>
  </si>
  <si>
    <t xml:space="preserve">Colorado Springs Switchbacks FC</t>
  </si>
  <si>
    <t xml:space="preserve">Western</t>
  </si>
  <si>
    <t xml:space="preserve">1998-08-02</t>
  </si>
  <si>
    <t xml:space="preserve">https://www.fotmob.com/players/1257960/colin-shutler</t>
  </si>
  <si>
    <t xml:space="preserve">Christian Herrera</t>
  </si>
  <si>
    <t xml:space="preserve">1997-04-20</t>
  </si>
  <si>
    <t xml:space="preserve">Mexico</t>
  </si>
  <si>
    <t xml:space="preserve">https://www.fotmob.com/players/1082233/christian-herrera</t>
  </si>
  <si>
    <t xml:space="preserve">Samuel Jones</t>
  </si>
  <si>
    <t xml:space="preserve">2001-07-13</t>
  </si>
  <si>
    <t xml:space="preserve">https://www.fotmob.com/players/2096676/samuel-jones</t>
  </si>
  <si>
    <t xml:space="preserve">Talen Maples</t>
  </si>
  <si>
    <t xml:space="preserve">CB,RB</t>
  </si>
  <si>
    <t xml:space="preserve">1998-11-20</t>
  </si>
  <si>
    <t xml:space="preserve">https://www.fotmob.com/players/1302830/talen-maples</t>
  </si>
  <si>
    <t xml:space="preserve">Aidan Rocha</t>
  </si>
  <si>
    <t xml:space="preserve">RB,LB</t>
  </si>
  <si>
    <t xml:space="preserve">2000-12-25</t>
  </si>
  <si>
    <t xml:space="preserve">https://www.fotmob.com/players/1450959/aidan-rocha</t>
  </si>
  <si>
    <t xml:space="preserve">Matt Mahoney</t>
  </si>
  <si>
    <t xml:space="preserve">1995-04-17</t>
  </si>
  <si>
    <t xml:space="preserve">https://www.fotmob.com/players/945641/matt-mahoney</t>
  </si>
  <si>
    <t xml:space="preserve">Patrick Burner</t>
  </si>
  <si>
    <t xml:space="preserve">1996-04-11</t>
  </si>
  <si>
    <t xml:space="preserve">Martinique</t>
  </si>
  <si>
    <t xml:space="preserve">https://www.fotmob.com/players/802493/patrick-burner</t>
  </si>
  <si>
    <t xml:space="preserve">Garven Metusala</t>
  </si>
  <si>
    <t xml:space="preserve">1999-12-31</t>
  </si>
  <si>
    <t xml:space="preserve">https://www.fotmob.com/players/1286428/garven-metusala</t>
  </si>
  <si>
    <t xml:space="preserve">Isaiah Foster</t>
  </si>
  <si>
    <t xml:space="preserve">2003-08-12</t>
  </si>
  <si>
    <t xml:space="preserve">https://www.fotmob.com/players/1341149/isaiah-foster</t>
  </si>
  <si>
    <t xml:space="preserve">Duke Lacroix</t>
  </si>
  <si>
    <t xml:space="preserve">LB,RB,CB</t>
  </si>
  <si>
    <t xml:space="preserve">1993-10-14</t>
  </si>
  <si>
    <t xml:space="preserve">https://www.fotmob.com/players/649744/duke-lacroix</t>
  </si>
  <si>
    <t xml:space="preserve">Jabari De Coteau</t>
  </si>
  <si>
    <t xml:space="preserve">2005-03-22</t>
  </si>
  <si>
    <t xml:space="preserve">https://www.fotmob.com/players/1899033/jabari-de-coteau</t>
  </si>
  <si>
    <t xml:space="preserve">Brennan Creek</t>
  </si>
  <si>
    <t xml:space="preserve">CAM,CDM,CM</t>
  </si>
  <si>
    <t xml:space="preserve">2000-07-06</t>
  </si>
  <si>
    <t xml:space="preserve">https://www.fotmob.com/players/1520240/brennan-creek</t>
  </si>
  <si>
    <t xml:space="preserve">Adrien Pérez</t>
  </si>
  <si>
    <t xml:space="preserve">RW,CAM</t>
  </si>
  <si>
    <t xml:space="preserve">1995-10-13</t>
  </si>
  <si>
    <t xml:space="preserve">https://www.fotmob.com/players/1026083/adrien-perez</t>
  </si>
  <si>
    <t xml:space="preserve">Sam Williams</t>
  </si>
  <si>
    <t xml:space="preserve">2005-03-18</t>
  </si>
  <si>
    <t xml:space="preserve">https://www.fotmob.com/players/1269365/sam-williams</t>
  </si>
  <si>
    <t xml:space="preserve">Frank Daroma</t>
  </si>
  <si>
    <t xml:space="preserve">2001-04-12</t>
  </si>
  <si>
    <t xml:space="preserve">Sierra Leone</t>
  </si>
  <si>
    <t xml:space="preserve">https://www.fotmob.com/players/1252846/frank-daroma</t>
  </si>
  <si>
    <t xml:space="preserve">Speedy Williams</t>
  </si>
  <si>
    <t xml:space="preserve">1992-04-08</t>
  </si>
  <si>
    <t xml:space="preserve">https://www.fotmob.com/players/671835/speedy-williams</t>
  </si>
  <si>
    <t xml:space="preserve">Steven Echevarria</t>
  </si>
  <si>
    <t xml:space="preserve">1996-04-09</t>
  </si>
  <si>
    <t xml:space="preserve">https://www.fotmob.com/players/1252220/steven-echevarria</t>
  </si>
  <si>
    <t xml:space="preserve">Tyreek Magee</t>
  </si>
  <si>
    <t xml:space="preserve">1999-08-27</t>
  </si>
  <si>
    <t xml:space="preserve">https://www.fotmob.com/players/1058359/tyreek-magee</t>
  </si>
  <si>
    <t xml:space="preserve">Dane Valenti</t>
  </si>
  <si>
    <t xml:space="preserve">CM</t>
  </si>
  <si>
    <t xml:space="preserve">2007-10-31</t>
  </si>
  <si>
    <t xml:space="preserve">https://www.fotmob.com/players/1921662/dane-valenti</t>
  </si>
  <si>
    <t xml:space="preserve">Khori Bennett</t>
  </si>
  <si>
    <t xml:space="preserve">1997-12-13</t>
  </si>
  <si>
    <t xml:space="preserve">https://www.fotmob.com/players/940300/khori-bennett</t>
  </si>
  <si>
    <t xml:space="preserve">Sadam Masereka</t>
  </si>
  <si>
    <t xml:space="preserve">LW,RW</t>
  </si>
  <si>
    <t xml:space="preserve">2004-09-09</t>
  </si>
  <si>
    <t xml:space="preserve">Uganda</t>
  </si>
  <si>
    <t xml:space="preserve">https://www.fotmob.com/players/1886516/sadam-masereka</t>
  </si>
  <si>
    <t xml:space="preserve">Juan Tejada</t>
  </si>
  <si>
    <t xml:space="preserve">1997-01-14</t>
  </si>
  <si>
    <t xml:space="preserve">Panama</t>
  </si>
  <si>
    <t xml:space="preserve">https://www.fotmob.com/players/1048898/juan-tejada</t>
  </si>
  <si>
    <t xml:space="preserve">Jonas Fjeldberg</t>
  </si>
  <si>
    <t xml:space="preserve">1998-09-30</t>
  </si>
  <si>
    <t xml:space="preserve">Norway</t>
  </si>
  <si>
    <t xml:space="preserve">https://www.fotmob.com/players/538520/jonas-fjeldberg</t>
  </si>
  <si>
    <t xml:space="preserve">Yosuke Hanya</t>
  </si>
  <si>
    <t xml:space="preserve">1999-01-30</t>
  </si>
  <si>
    <t xml:space="preserve">https://www.fotmob.com/players/1348316/yosuke-hanya</t>
  </si>
  <si>
    <t xml:space="preserve">Bryce Jamison</t>
  </si>
  <si>
    <t xml:space="preserve">RM</t>
  </si>
  <si>
    <t xml:space="preserve">RM,RW,LW,CAM</t>
  </si>
  <si>
    <t xml:space="preserve">2006-01-06</t>
  </si>
  <si>
    <t xml:space="preserve">https://www.fotmob.com/players/1408628/bryce-jamison</t>
  </si>
  <si>
    <t xml:space="preserve">Elvis Amoh</t>
  </si>
  <si>
    <t xml:space="preserve">1992-02-02</t>
  </si>
  <si>
    <t xml:space="preserve">https://www.fotmob.com/players/1079287/elvis-amoh</t>
  </si>
  <si>
    <t xml:space="preserve">Griffin Price</t>
  </si>
  <si>
    <t xml:space="preserve">2006-05-06</t>
  </si>
  <si>
    <t xml:space="preserve">https://www.fotmob.com/players/1946334/griffin-price</t>
  </si>
  <si>
    <t xml:space="preserve">Jesus Sandoval</t>
  </si>
  <si>
    <t xml:space="preserve">2006-08-01</t>
  </si>
  <si>
    <t xml:space="preserve">https://www.fotmob.com/players/2119829/jesus-sandoval</t>
  </si>
  <si>
    <t xml:space="preserve">Rashed Jahan</t>
  </si>
  <si>
    <t xml:space="preserve">2005-07-26</t>
  </si>
  <si>
    <t xml:space="preserve">Afghanistan</t>
  </si>
  <si>
    <t xml:space="preserve">https://www.fotmob.com/players/1928364/rashed-jahan</t>
  </si>
  <si>
    <t xml:space="preserve">Carlos Herrera</t>
  </si>
  <si>
    <t xml:space="preserve">Detroit City FC</t>
  </si>
  <si>
    <t xml:space="preserve">1997-09-12</t>
  </si>
  <si>
    <t xml:space="preserve">https://www.fotmob.com/players/1357579/carlos-herrera</t>
  </si>
  <si>
    <t xml:space="preserve">Carlos Saldaña</t>
  </si>
  <si>
    <t xml:space="preserve">1996-10-27</t>
  </si>
  <si>
    <t xml:space="preserve">https://www.fotmob.com/players/1298994/carlos-saldana</t>
  </si>
  <si>
    <t xml:space="preserve">Tatenda Mkuruva</t>
  </si>
  <si>
    <t xml:space="preserve">1996-01-04</t>
  </si>
  <si>
    <t xml:space="preserve">Zimbabwe</t>
  </si>
  <si>
    <t xml:space="preserve">https://www.fotmob.com/players/649957/tatenda-mkuruva</t>
  </si>
  <si>
    <t xml:space="preserve">Devon Amoo-Mensah</t>
  </si>
  <si>
    <t xml:space="preserve">1995-11-27</t>
  </si>
  <si>
    <t xml:space="preserve">https://www.fotmob.com/players/1175165/devon-amoo-mensah</t>
  </si>
  <si>
    <t xml:space="preserve">Haruki Yamazaki</t>
  </si>
  <si>
    <t xml:space="preserve">RB,RW,CAM,RWB</t>
  </si>
  <si>
    <t xml:space="preserve">2000-12-11</t>
  </si>
  <si>
    <t xml:space="preserve">https://www.fotmob.com/players/1644456/haruki-yamazaki</t>
  </si>
  <si>
    <t xml:space="preserve">Callum Montgomery</t>
  </si>
  <si>
    <t xml:space="preserve">1997-05-14</t>
  </si>
  <si>
    <t xml:space="preserve">https://www.fotmob.com/players/1026047/callum-montgomery</t>
  </si>
  <si>
    <t xml:space="preserve">Tommy Silva</t>
  </si>
  <si>
    <t xml:space="preserve">2002-02-21</t>
  </si>
  <si>
    <t xml:space="preserve">https://www.fotmob.com/players/1611186/tommy-silva</t>
  </si>
  <si>
    <t xml:space="preserve">Aedan Stanley</t>
  </si>
  <si>
    <t xml:space="preserve">LB,LW</t>
  </si>
  <si>
    <t xml:space="preserve">1999-12-13</t>
  </si>
  <si>
    <t xml:space="preserve">https://www.fotmob.com/players/1172869/aedan-stanley</t>
  </si>
  <si>
    <t xml:space="preserve">Rio Hope-Gund</t>
  </si>
  <si>
    <t xml:space="preserve">1999-08-20</t>
  </si>
  <si>
    <t xml:space="preserve">https://www.fotmob.com/players/1246586/rio-hope-gund</t>
  </si>
  <si>
    <t xml:space="preserve">Rhys Williams</t>
  </si>
  <si>
    <t xml:space="preserve">RB,RW</t>
  </si>
  <si>
    <t xml:space="preserve">1995-08-09</t>
  </si>
  <si>
    <t xml:space="preserve">https://www.fotmob.com/players/1081951/rhys-williams</t>
  </si>
  <si>
    <t xml:space="preserve">Michael Bryant</t>
  </si>
  <si>
    <t xml:space="preserve">1995-04-02</t>
  </si>
  <si>
    <t xml:space="preserve">https://www.fotmob.com/players/1175374/michael-bryant</t>
  </si>
  <si>
    <t xml:space="preserve">Kobe Hernández-Foster</t>
  </si>
  <si>
    <t xml:space="preserve">2002-06-26</t>
  </si>
  <si>
    <t xml:space="preserve">https://www.fotmob.com/players/1079029/kobe-hernandez-foster</t>
  </si>
  <si>
    <t xml:space="preserve">Abdoulaye Diop</t>
  </si>
  <si>
    <t xml:space="preserve">1999-09-17</t>
  </si>
  <si>
    <t xml:space="preserve">https://www.fotmob.com/players/1170736/abdoulaye-diop</t>
  </si>
  <si>
    <t xml:space="preserve">Maxi Rodriguez</t>
  </si>
  <si>
    <t xml:space="preserve">CAM,CM</t>
  </si>
  <si>
    <t xml:space="preserve">https://www.fotmob.com/players/942418/maxi-rodriguez</t>
  </si>
  <si>
    <t xml:space="preserve">Ryan Williams</t>
  </si>
  <si>
    <t xml:space="preserve">1991-04-08</t>
  </si>
  <si>
    <t xml:space="preserve">https://www.fotmob.com/players/157390/ryan-williams</t>
  </si>
  <si>
    <t xml:space="preserve">Connor Rutz</t>
  </si>
  <si>
    <t xml:space="preserve">1997-04-09</t>
  </si>
  <si>
    <t xml:space="preserve">https://www.fotmob.com/players/1175406/connor-rutz</t>
  </si>
  <si>
    <t xml:space="preserve">Bilal Obeid</t>
  </si>
  <si>
    <t xml:space="preserve">2007-11-19</t>
  </si>
  <si>
    <t xml:space="preserve">Palestine</t>
  </si>
  <si>
    <t xml:space="preserve">https://www.fotmob.com/players/1783978/bilal-obeid</t>
  </si>
  <si>
    <t xml:space="preserve">Darren Smith</t>
  </si>
  <si>
    <t xml:space="preserve">1996-03-26</t>
  </si>
  <si>
    <t xml:space="preserve">South Africa</t>
  </si>
  <si>
    <t xml:space="preserve">https://www.fotmob.com/players/559158/darren-smith</t>
  </si>
  <si>
    <t xml:space="preserve">Ates Diouf</t>
  </si>
  <si>
    <t xml:space="preserve">LW,ST,LM</t>
  </si>
  <si>
    <t xml:space="preserve">2000-03-24</t>
  </si>
  <si>
    <t xml:space="preserve">https://www.fotmob.com/players/1042558/ates-diouf</t>
  </si>
  <si>
    <t xml:space="preserve">Jeciel Cedeño</t>
  </si>
  <si>
    <t xml:space="preserve">RW,CAM,RM</t>
  </si>
  <si>
    <t xml:space="preserve">Ecuador</t>
  </si>
  <si>
    <t xml:space="preserve">https://www.fotmob.com/players/1060350/jeciel-cedeno</t>
  </si>
  <si>
    <t xml:space="preserve">Ben Morris</t>
  </si>
  <si>
    <t xml:space="preserve">1999-07-06</t>
  </si>
  <si>
    <t xml:space="preserve">https://www.fotmob.com/players/749485/ben-morris</t>
  </si>
  <si>
    <t xml:space="preserve">Alexander Dalou</t>
  </si>
  <si>
    <t xml:space="preserve">RW,LW,RM,ST</t>
  </si>
  <si>
    <t xml:space="preserve">2000-08-24</t>
  </si>
  <si>
    <t xml:space="preserve">https://www.fotmob.com/players/1457710/alexander-dalou</t>
  </si>
  <si>
    <t xml:space="preserve">Chisom Egbuchulam</t>
  </si>
  <si>
    <t xml:space="preserve">1992-02-22</t>
  </si>
  <si>
    <t xml:space="preserve">Nigeria</t>
  </si>
  <si>
    <t xml:space="preserve">https://www.fotmob.com/players/799488/chisom-egbuchulam</t>
  </si>
  <si>
    <t xml:space="preserve">Rafa Mentzingen</t>
  </si>
  <si>
    <t xml:space="preserve">1996-05-02</t>
  </si>
  <si>
    <t xml:space="preserve">https://www.fotmob.com/players/1057344/rafa-mentzingen</t>
  </si>
  <si>
    <t xml:space="preserve">Preston Tabort Etaka</t>
  </si>
  <si>
    <t xml:space="preserve">1998-06-10</t>
  </si>
  <si>
    <t xml:space="preserve">Cameroon</t>
  </si>
  <si>
    <t xml:space="preserve">https://www.fotmob.com/players/1042922/preston-tabort-etaka</t>
  </si>
  <si>
    <t xml:space="preserve">Kian Williams</t>
  </si>
  <si>
    <t xml:space="preserve">2000-07-01</t>
  </si>
  <si>
    <t xml:space="preserve">https://www.fotmob.com/players/1083799/kian-williams</t>
  </si>
  <si>
    <t xml:space="preserve">Cheikhou Niang</t>
  </si>
  <si>
    <t xml:space="preserve">2007-04-20</t>
  </si>
  <si>
    <t xml:space="preserve">https://www.fotmob.com/players/1959674/cheikhou-niang</t>
  </si>
  <si>
    <t xml:space="preserve">Abraham Romero</t>
  </si>
  <si>
    <t xml:space="preserve">El Paso Locomotive FC</t>
  </si>
  <si>
    <t xml:space="preserve">1998-02-18</t>
  </si>
  <si>
    <t xml:space="preserve">https://www.fotmob.com/players/848040/abraham-romero</t>
  </si>
  <si>
    <t xml:space="preserve">Sebastián Mora-Mora</t>
  </si>
  <si>
    <t xml:space="preserve">1998-04-14</t>
  </si>
  <si>
    <t xml:space="preserve">https://www.fotmob.com/players/1172893/sebastian-mora-mora</t>
  </si>
  <si>
    <t xml:space="preserve">Pedro</t>
  </si>
  <si>
    <t xml:space="preserve">2004-03-05</t>
  </si>
  <si>
    <t xml:space="preserve">https://www.fotmob.com/players/1735919/pedro</t>
  </si>
  <si>
    <t xml:space="preserve">Trace Alphin</t>
  </si>
  <si>
    <t xml:space="preserve">2002-10-04</t>
  </si>
  <si>
    <t xml:space="preserve">https://www.fotmob.com/players/1172158/trace-alphin</t>
  </si>
  <si>
    <t xml:space="preserve">Tony Alfaro</t>
  </si>
  <si>
    <t xml:space="preserve">1993-06-15</t>
  </si>
  <si>
    <t xml:space="preserve">https://www.fotmob.com/players/731364/tony-alfaro</t>
  </si>
  <si>
    <t xml:space="preserve">Kofi Twumasi</t>
  </si>
  <si>
    <t xml:space="preserve">1996-08-30</t>
  </si>
  <si>
    <t xml:space="preserve">https://www.fotmob.com/players/890403/kofi-twumasi</t>
  </si>
  <si>
    <t xml:space="preserve">Arturo Ortíz</t>
  </si>
  <si>
    <t xml:space="preserve">1992-08-25</t>
  </si>
  <si>
    <t xml:space="preserve">https://www.fotmob.com/players/418257/arturo-ortiz</t>
  </si>
  <si>
    <t xml:space="preserve">Ricky Ruiz</t>
  </si>
  <si>
    <t xml:space="preserve">LB,LM,RW</t>
  </si>
  <si>
    <t xml:space="preserve">1996-11-04</t>
  </si>
  <si>
    <t xml:space="preserve">https://www.fotmob.com/players/1259935/ricky-ruiz</t>
  </si>
  <si>
    <t xml:space="preserve">Álvaro Quezada</t>
  </si>
  <si>
    <t xml:space="preserve">RB,RM,RWB,RW</t>
  </si>
  <si>
    <t xml:space="preserve">1999-03-04</t>
  </si>
  <si>
    <t xml:space="preserve">https://www.fotmob.com/players/1250345/alvaro-quezada</t>
  </si>
  <si>
    <t xml:space="preserve">Noah Dollenmayer</t>
  </si>
  <si>
    <t xml:space="preserve">1999-10-26</t>
  </si>
  <si>
    <t xml:space="preserve">Dominican Republic</t>
  </si>
  <si>
    <t xml:space="preserve">https://www.fotmob.com/players/1455534/noah-dollenmayer</t>
  </si>
  <si>
    <t xml:space="preserve">Nicolás Cardona</t>
  </si>
  <si>
    <t xml:space="preserve">CB,RB,RM</t>
  </si>
  <si>
    <t xml:space="preserve">1999-02-11</t>
  </si>
  <si>
    <t xml:space="preserve">https://www.fotmob.com/players/1240356/nicolas-cardona</t>
  </si>
  <si>
    <t xml:space="preserve">Kenneth Hoban</t>
  </si>
  <si>
    <t xml:space="preserve">2009-04-29</t>
  </si>
  <si>
    <t xml:space="preserve">https://www.fotmob.com/players/1724673/kenneth-hoban</t>
  </si>
  <si>
    <t xml:space="preserve">Carl Sainté</t>
  </si>
  <si>
    <t xml:space="preserve">CB,CAM,CDM</t>
  </si>
  <si>
    <t xml:space="preserve">https://www.fotmob.com/players/1107287/carl-sainte</t>
  </si>
  <si>
    <t xml:space="preserve">Guillermo Diaz</t>
  </si>
  <si>
    <t xml:space="preserve">1995-10-16</t>
  </si>
  <si>
    <t xml:space="preserve">https://www.fotmob.com/players/1078650/guillermo-diaz</t>
  </si>
  <si>
    <t xml:space="preserve">Joseluis Villagomez</t>
  </si>
  <si>
    <t xml:space="preserve">2007-03-01</t>
  </si>
  <si>
    <t xml:space="preserve">https://www.fotmob.com/players/1793923/joseluis-villagomez</t>
  </si>
  <si>
    <t xml:space="preserve">Eric Calvillo</t>
  </si>
  <si>
    <t xml:space="preserve">CM,CAM,CDM</t>
  </si>
  <si>
    <t xml:space="preserve">1998-01-02</t>
  </si>
  <si>
    <t xml:space="preserve">El Salvador</t>
  </si>
  <si>
    <t xml:space="preserve">https://www.fotmob.com/players/805770/eric-calvillo</t>
  </si>
  <si>
    <t xml:space="preserve">Alex Méndez</t>
  </si>
  <si>
    <t xml:space="preserve">RW,CAM,CDM,CM</t>
  </si>
  <si>
    <t xml:space="preserve">2000-09-06</t>
  </si>
  <si>
    <t xml:space="preserve">https://www.fotmob.com/players/936528/alex-mendez</t>
  </si>
  <si>
    <t xml:space="preserve">Robert Coronado</t>
  </si>
  <si>
    <t xml:space="preserve">CM,CDM</t>
  </si>
  <si>
    <t xml:space="preserve">1996-08-03</t>
  </si>
  <si>
    <t xml:space="preserve">https://www.fotmob.com/players/1059463/robert-coronado</t>
  </si>
  <si>
    <t xml:space="preserve">Gabi Torres</t>
  </si>
  <si>
    <t xml:space="preserve">LM,LWB,CDM,LW,LB</t>
  </si>
  <si>
    <t xml:space="preserve">1996-08-01</t>
  </si>
  <si>
    <t xml:space="preserve">https://www.fotmob.com/players/1170999/gabi-torres</t>
  </si>
  <si>
    <t xml:space="preserve">Daniel Gomez</t>
  </si>
  <si>
    <t xml:space="preserve">CM,CDM,CAM</t>
  </si>
  <si>
    <t xml:space="preserve">2000-05-07</t>
  </si>
  <si>
    <t xml:space="preserve">https://www.fotmob.com/players/1448105/daniel-gomez</t>
  </si>
  <si>
    <t xml:space="preserve">Abdiel Guzman</t>
  </si>
  <si>
    <t xml:space="preserve">2008-10-07</t>
  </si>
  <si>
    <t xml:space="preserve">https://www.fotmob.com/players/2026834/abdiel-guzman</t>
  </si>
  <si>
    <t xml:space="preserve">Xzavier Rede</t>
  </si>
  <si>
    <t xml:space="preserve">2009-02-16</t>
  </si>
  <si>
    <t xml:space="preserve">https://www.fotmob.com/players/2026835/xzavier-rede</t>
  </si>
  <si>
    <t xml:space="preserve">Rubio Rubín</t>
  </si>
  <si>
    <t xml:space="preserve">ST,LW</t>
  </si>
  <si>
    <t xml:space="preserve">1996-03-01</t>
  </si>
  <si>
    <t xml:space="preserve">Guatemala</t>
  </si>
  <si>
    <t xml:space="preserve">https://www.fotmob.com/players/570980/rubio-rubin</t>
  </si>
  <si>
    <t xml:space="preserve">Amando Moreno</t>
  </si>
  <si>
    <t xml:space="preserve">1995-09-10</t>
  </si>
  <si>
    <t xml:space="preserve">https://www.fotmob.com/players/431435/amando-moreno</t>
  </si>
  <si>
    <t xml:space="preserve">Roberto Avila</t>
  </si>
  <si>
    <t xml:space="preserve">RW,ST,CAM</t>
  </si>
  <si>
    <t xml:space="preserve">2000-10-16</t>
  </si>
  <si>
    <t xml:space="preserve">https://www.fotmob.com/players/1078028/roberto-avila</t>
  </si>
  <si>
    <t xml:space="preserve">Jimmy Farkarlun</t>
  </si>
  <si>
    <t xml:space="preserve">RW,RM,LW</t>
  </si>
  <si>
    <t xml:space="preserve">2001-07-14</t>
  </si>
  <si>
    <t xml:space="preserve">Liberia</t>
  </si>
  <si>
    <t xml:space="preserve">https://www.fotmob.com/players/1621324/jimmy-farkarlun</t>
  </si>
  <si>
    <t xml:space="preserve">Diego Abitia</t>
  </si>
  <si>
    <t xml:space="preserve">2003-04-16</t>
  </si>
  <si>
    <t xml:space="preserve">https://www.fotmob.com/players/1358427/diego-abitia</t>
  </si>
  <si>
    <t xml:space="preserve">Omar Mora</t>
  </si>
  <si>
    <t xml:space="preserve">2004-03-03</t>
  </si>
  <si>
    <t xml:space="preserve">https://www.fotmob.com/players/1724677/omar-mora</t>
  </si>
  <si>
    <t xml:space="preserve">Zyen Jones</t>
  </si>
  <si>
    <t xml:space="preserve">2000-08-25</t>
  </si>
  <si>
    <t xml:space="preserve">https://www.fotmob.com/players/1078226/zyen-jones</t>
  </si>
  <si>
    <t xml:space="preserve">Cristobal Fernandez</t>
  </si>
  <si>
    <t xml:space="preserve">1991-01-27</t>
  </si>
  <si>
    <t xml:space="preserve">https://www.fotmob.com/players/2297330/cristobal-fernandez</t>
  </si>
  <si>
    <t xml:space="preserve">Dane Jacomen</t>
  </si>
  <si>
    <t xml:space="preserve">FC Tulsa</t>
  </si>
  <si>
    <t xml:space="preserve">2001-02-25</t>
  </si>
  <si>
    <t xml:space="preserve">https://www.fotmob.com/players/1381135/dane-jacomen</t>
  </si>
  <si>
    <t xml:space="preserve">Alexander Tambakis</t>
  </si>
  <si>
    <t xml:space="preserve">1992-12-08</t>
  </si>
  <si>
    <t xml:space="preserve">Greece</t>
  </si>
  <si>
    <t xml:space="preserve">https://www.fotmob.com/players/638991/alexander-tambakis</t>
  </si>
  <si>
    <t xml:space="preserve">Noah Adams</t>
  </si>
  <si>
    <t xml:space="preserve">2008-01-25</t>
  </si>
  <si>
    <t xml:space="preserve">https://www.fotmob.com/players/2090272/noah-adams</t>
  </si>
  <si>
    <t xml:space="preserve">Ian</t>
  </si>
  <si>
    <t xml:space="preserve">1998-05-19</t>
  </si>
  <si>
    <t xml:space="preserve">https://www.fotmob.com/players/1712469/ian</t>
  </si>
  <si>
    <t xml:space="preserve">Lucas Stauffer</t>
  </si>
  <si>
    <t xml:space="preserve">LWB</t>
  </si>
  <si>
    <t xml:space="preserve">LWB,RB,RM,RWB,LB,LM</t>
  </si>
  <si>
    <t xml:space="preserve">1995-04-21</t>
  </si>
  <si>
    <t xml:space="preserve">https://www.fotmob.com/players/923977/lucas-stauffer</t>
  </si>
  <si>
    <t xml:space="preserve">Lamar Batista</t>
  </si>
  <si>
    <t xml:space="preserve">1998-03-07</t>
  </si>
  <si>
    <t xml:space="preserve">https://www.fotmob.com/players/860075/lamar-batista</t>
  </si>
  <si>
    <t xml:space="preserve">Abdoulaye Cissoko</t>
  </si>
  <si>
    <t xml:space="preserve">1999-12-27</t>
  </si>
  <si>
    <t xml:space="preserve">https://www.fotmob.com/players/1172998/abdoulaye-cissoko</t>
  </si>
  <si>
    <t xml:space="preserve">Delentz Pierre</t>
  </si>
  <si>
    <t xml:space="preserve">CB,CDM,CM</t>
  </si>
  <si>
    <t xml:space="preserve">2000-09-16</t>
  </si>
  <si>
    <t xml:space="preserve">https://www.fotmob.com/players/1355679/delentz-pierre</t>
  </si>
  <si>
    <t xml:space="preserve">Joel Sangwa</t>
  </si>
  <si>
    <t xml:space="preserve">RWB</t>
  </si>
  <si>
    <t xml:space="preserve">1999-05-03</t>
  </si>
  <si>
    <t xml:space="preserve">https://www.fotmob.com/players/1626133/joel-sangwa</t>
  </si>
  <si>
    <t xml:space="preserve">Harvey St Clair</t>
  </si>
  <si>
    <t xml:space="preserve">RWB,RB,RM,CB</t>
  </si>
  <si>
    <t xml:space="preserve">1998-11-13</t>
  </si>
  <si>
    <t xml:space="preserve">Scotland</t>
  </si>
  <si>
    <t xml:space="preserve">https://www.fotmob.com/players/793911/harvey-st-clair</t>
  </si>
  <si>
    <t xml:space="preserve">Alonzo Clarke</t>
  </si>
  <si>
    <t xml:space="preserve">2003-09-09</t>
  </si>
  <si>
    <t xml:space="preserve">https://www.fotmob.com/players/1913765/alonzo-clarke</t>
  </si>
  <si>
    <t xml:space="preserve">Wilson Eisner</t>
  </si>
  <si>
    <t xml:space="preserve">2002-05-03</t>
  </si>
  <si>
    <t xml:space="preserve">https://www.fotmob.com/players/1715116/wilson-eisner</t>
  </si>
  <si>
    <t xml:space="preserve">Jeorgio Kocevski</t>
  </si>
  <si>
    <t xml:space="preserve">2002-08-19</t>
  </si>
  <si>
    <t xml:space="preserve">https://www.fotmob.com/players/1613722/jeorgio-kocevski</t>
  </si>
  <si>
    <t xml:space="preserve">Jamie Webber</t>
  </si>
  <si>
    <t xml:space="preserve">CM,CAM,CDM,LW,RM</t>
  </si>
  <si>
    <t xml:space="preserve">1998-01-12</t>
  </si>
  <si>
    <t xml:space="preserve">https://www.fotmob.com/players/851104/jamie-webber</t>
  </si>
  <si>
    <t xml:space="preserve">Bailey Sparks</t>
  </si>
  <si>
    <t xml:space="preserve">RW,RM,CAM,LW</t>
  </si>
  <si>
    <t xml:space="preserve">2002-12-30</t>
  </si>
  <si>
    <t xml:space="preserve">https://www.fotmob.com/players/1171033/bailey-sparks</t>
  </si>
  <si>
    <t xml:space="preserve">Giordano Colli</t>
  </si>
  <si>
    <t xml:space="preserve">CDM,CM,CAM</t>
  </si>
  <si>
    <t xml:space="preserve">2000-03-12</t>
  </si>
  <si>
    <t xml:space="preserve">https://www.fotmob.com/players/1207848/giordano-colli</t>
  </si>
  <si>
    <t xml:space="preserve">Owen Damm</t>
  </si>
  <si>
    <t xml:space="preserve">LM,LB,LWB</t>
  </si>
  <si>
    <t xml:space="preserve">2003-08-22</t>
  </si>
  <si>
    <t xml:space="preserve">https://www.fotmob.com/players/1252869/owen-damm</t>
  </si>
  <si>
    <t xml:space="preserve">Grant Robinson</t>
  </si>
  <si>
    <t xml:space="preserve">LWB,LB</t>
  </si>
  <si>
    <t xml:space="preserve">1998-08-15</t>
  </si>
  <si>
    <t xml:space="preserve">https://www.fotmob.com/players/1171983/grant-robinson</t>
  </si>
  <si>
    <t xml:space="preserve">Stefan Lukić</t>
  </si>
  <si>
    <t xml:space="preserve">1996-06-01</t>
  </si>
  <si>
    <t xml:space="preserve">https://www.fotmob.com/players/1364155/stefan-lukic</t>
  </si>
  <si>
    <t xml:space="preserve">Boubacar Diallo</t>
  </si>
  <si>
    <t xml:space="preserve">2002-12-09</t>
  </si>
  <si>
    <t xml:space="preserve">https://www.fotmob.com/players/1356036/boubacar-diallo</t>
  </si>
  <si>
    <t xml:space="preserve">Zion Siranga</t>
  </si>
  <si>
    <t xml:space="preserve">2008-05-01</t>
  </si>
  <si>
    <t xml:space="preserve">https://www.fotmob.com/players/1928446/zion-siranga</t>
  </si>
  <si>
    <t xml:space="preserve">Marcos Cerato</t>
  </si>
  <si>
    <t xml:space="preserve">1994-02-08</t>
  </si>
  <si>
    <t xml:space="preserve">https://www.fotmob.com/players/653590/marcos-cerato</t>
  </si>
  <si>
    <t xml:space="preserve">Arquímides Ordóñez</t>
  </si>
  <si>
    <t xml:space="preserve">ST,CAM,LM</t>
  </si>
  <si>
    <t xml:space="preserve">2003-08-05</t>
  </si>
  <si>
    <t xml:space="preserve">https://www.fotmob.com/players/1269658/arquimides-ordonez</t>
  </si>
  <si>
    <t xml:space="preserve">Logan Dorsey</t>
  </si>
  <si>
    <t xml:space="preserve">2002-07-09</t>
  </si>
  <si>
    <t xml:space="preserve">https://www.fotmob.com/players/1060334/logan-dorsey</t>
  </si>
  <si>
    <t xml:space="preserve">Kalil ElMedkhar</t>
  </si>
  <si>
    <t xml:space="preserve">LW,LM,ST</t>
  </si>
  <si>
    <t xml:space="preserve">1999-08-18</t>
  </si>
  <si>
    <t xml:space="preserve">https://www.fotmob.com/players/1244942/kalil-elmedkhar</t>
  </si>
  <si>
    <t xml:space="preserve">Rémi Cabral</t>
  </si>
  <si>
    <t xml:space="preserve">1999-07-10</t>
  </si>
  <si>
    <t xml:space="preserve">https://www.fotmob.com/players/1259810/remi-cabral</t>
  </si>
  <si>
    <t xml:space="preserve">Will Wilson</t>
  </si>
  <si>
    <t xml:space="preserve">LW,RW,CDM</t>
  </si>
  <si>
    <t xml:space="preserve">2001-12-23</t>
  </si>
  <si>
    <t xml:space="preserve">Kenya</t>
  </si>
  <si>
    <t xml:space="preserve">https://www.fotmob.com/players/1255515/will-wilson</t>
  </si>
  <si>
    <t xml:space="preserve">Dylan Borczak</t>
  </si>
  <si>
    <t xml:space="preserve">RW,LW</t>
  </si>
  <si>
    <t xml:space="preserve">1999-06-13</t>
  </si>
  <si>
    <t xml:space="preserve">https://www.fotmob.com/players/1343607/dylan-borczak</t>
  </si>
  <si>
    <t xml:space="preserve">Antony Siaha</t>
  </si>
  <si>
    <t xml:space="preserve">Hartford Athletic</t>
  </si>
  <si>
    <t xml:space="preserve">1998-04-27</t>
  </si>
  <si>
    <t xml:space="preserve">https://www.fotmob.com/players/1175236/antony-siaha</t>
  </si>
  <si>
    <t xml:space="preserve">Enzo Balsini de Gracia E Carvalho</t>
  </si>
  <si>
    <t xml:space="preserve">2002-06-12</t>
  </si>
  <si>
    <t xml:space="preserve">https://www.fotmob.com/players/1918809/enzo-balsini-de-gracia-e-carvalho</t>
  </si>
  <si>
    <t xml:space="preserve">Jordan Scarlett</t>
  </si>
  <si>
    <t xml:space="preserve">1995-07-08</t>
  </si>
  <si>
    <t xml:space="preserve">https://www.fotmob.com/players/888046/jordan-scarlett</t>
  </si>
  <si>
    <t xml:space="preserve">Britton Fischer</t>
  </si>
  <si>
    <t xml:space="preserve">CB,LB</t>
  </si>
  <si>
    <t xml:space="preserve">2004-02-25</t>
  </si>
  <si>
    <t xml:space="preserve">https://www.fotmob.com/players/1398374/britton-fischer</t>
  </si>
  <si>
    <t xml:space="preserve">Adrián Diz</t>
  </si>
  <si>
    <t xml:space="preserve">1994-03-04</t>
  </si>
  <si>
    <t xml:space="preserve">Cuba</t>
  </si>
  <si>
    <t xml:space="preserve">https://www.fotmob.com/players/502403/adrian-diz</t>
  </si>
  <si>
    <t xml:space="preserve">Arturo Ordóñez</t>
  </si>
  <si>
    <t xml:space="preserve">1997-05-22</t>
  </si>
  <si>
    <t xml:space="preserve">https://www.fotmob.com/players/1341110/arturo-ordonez</t>
  </si>
  <si>
    <t xml:space="preserve">TJ Presthus</t>
  </si>
  <si>
    <t xml:space="preserve">CB,RB,LW</t>
  </si>
  <si>
    <t xml:space="preserve">2003-02-13</t>
  </si>
  <si>
    <t xml:space="preserve">https://www.fotmob.com/players/1724681/tj-presthus</t>
  </si>
  <si>
    <t xml:space="preserve">Matt Real</t>
  </si>
  <si>
    <t xml:space="preserve">LB,LW,LWB</t>
  </si>
  <si>
    <t xml:space="preserve">https://www.fotmob.com/players/889478/matt-real</t>
  </si>
  <si>
    <t xml:space="preserve">Junior Moreira</t>
  </si>
  <si>
    <t xml:space="preserve">2003-03-26</t>
  </si>
  <si>
    <t xml:space="preserve">Guinea-Bissau</t>
  </si>
  <si>
    <t xml:space="preserve">https://www.fotmob.com/players/1346115/junior-moreira</t>
  </si>
  <si>
    <t xml:space="preserve">Sebastian Anderson</t>
  </si>
  <si>
    <t xml:space="preserve">CAM,RWB,RW</t>
  </si>
  <si>
    <t xml:space="preserve">2002-08-08</t>
  </si>
  <si>
    <t xml:space="preserve">https://www.fotmob.com/players/1037271/sebastian-anderson</t>
  </si>
  <si>
    <t xml:space="preserve">Barry Coffey</t>
  </si>
  <si>
    <t xml:space="preserve">CAM,CM,RW</t>
  </si>
  <si>
    <t xml:space="preserve">2001-03-27</t>
  </si>
  <si>
    <t xml:space="preserve">Republic of Ireland</t>
  </si>
  <si>
    <t xml:space="preserve">https://www.fotmob.com/players/1072821/barry-coffey</t>
  </si>
  <si>
    <t xml:space="preserve">Beverly Makangila</t>
  </si>
  <si>
    <t xml:space="preserve">2000-04-11</t>
  </si>
  <si>
    <t xml:space="preserve">Congo DR</t>
  </si>
  <si>
    <t xml:space="preserve">https://www.fotmob.com/players/1141408/beverly-makangila</t>
  </si>
  <si>
    <t xml:space="preserve">Baboucarr Njie</t>
  </si>
  <si>
    <t xml:space="preserve">LB,LWB,LM,CB</t>
  </si>
  <si>
    <t xml:space="preserve">1995-06-05</t>
  </si>
  <si>
    <t xml:space="preserve">Gambia</t>
  </si>
  <si>
    <t xml:space="preserve">https://www.fotmob.com/players/1170740/baboucarr-njie</t>
  </si>
  <si>
    <t xml:space="preserve">Ben Mines</t>
  </si>
  <si>
    <t xml:space="preserve">2000-05-13</t>
  </si>
  <si>
    <t xml:space="preserve">https://www.fotmob.com/players/848653/ben-mines</t>
  </si>
  <si>
    <t xml:space="preserve">Christos Hadjipaschalis</t>
  </si>
  <si>
    <t xml:space="preserve">1999-08-01</t>
  </si>
  <si>
    <t xml:space="preserve">Cyprus</t>
  </si>
  <si>
    <t xml:space="preserve">https://www.fotmob.com/players/680789/christos-hadjipaschalis</t>
  </si>
  <si>
    <t xml:space="preserve">Galen Flynn</t>
  </si>
  <si>
    <t xml:space="preserve">2001-09-24</t>
  </si>
  <si>
    <t xml:space="preserve">https://www.fotmob.com/players/1933135/galen-flynn</t>
  </si>
  <si>
    <t xml:space="preserve">Samuel Careaga</t>
  </si>
  <si>
    <t xml:space="preserve">CAM,CM,CDM</t>
  </si>
  <si>
    <t xml:space="preserve">2002-06-09</t>
  </si>
  <si>
    <t xml:space="preserve">Argentina</t>
  </si>
  <si>
    <t xml:space="preserve">https://www.fotmob.com/players/1336818/samuel-careaga</t>
  </si>
  <si>
    <t xml:space="preserve">Oscar Pearman</t>
  </si>
  <si>
    <t xml:space="preserve">2008-02-02</t>
  </si>
  <si>
    <t xml:space="preserve">https://www.fotmob.com/players/2189244/oscar-pearman</t>
  </si>
  <si>
    <t xml:space="preserve">Sean Canada</t>
  </si>
  <si>
    <t xml:space="preserve">2007-10-17</t>
  </si>
  <si>
    <t xml:space="preserve">https://www.fotmob.com/players/2189245/sean-canada</t>
  </si>
  <si>
    <t xml:space="preserve">Augustine Williams</t>
  </si>
  <si>
    <t xml:space="preserve">1997-08-03</t>
  </si>
  <si>
    <t xml:space="preserve">https://www.fotmob.com/players/791668/augustine-williams</t>
  </si>
  <si>
    <t xml:space="preserve">Michee Ngalina</t>
  </si>
  <si>
    <t xml:space="preserve">ST,CAM,LM,LW</t>
  </si>
  <si>
    <t xml:space="preserve">2000-04-06</t>
  </si>
  <si>
    <t xml:space="preserve">https://www.fotmob.com/players/941144/michee-ngalina</t>
  </si>
  <si>
    <t xml:space="preserve">Emmanuel Samadia</t>
  </si>
  <si>
    <t xml:space="preserve">LW,LWB,CM</t>
  </si>
  <si>
    <t xml:space="preserve">2001-04-19</t>
  </si>
  <si>
    <t xml:space="preserve">https://www.fotmob.com/players/1230428/emmanuel-samadia</t>
  </si>
  <si>
    <t xml:space="preserve">Sadat Anaku</t>
  </si>
  <si>
    <t xml:space="preserve">2000-12-09</t>
  </si>
  <si>
    <t xml:space="preserve">https://www.fotmob.com/players/1399546/sadat-anaku</t>
  </si>
  <si>
    <t xml:space="preserve">Michael Adedokun</t>
  </si>
  <si>
    <t xml:space="preserve">2001-05-27</t>
  </si>
  <si>
    <t xml:space="preserve">https://www.fotmob.com/players/1520743/michael-adedokun</t>
  </si>
  <si>
    <t xml:space="preserve">Adewale Obalola</t>
  </si>
  <si>
    <t xml:space="preserve">2004-12-05</t>
  </si>
  <si>
    <t xml:space="preserve">https://www.fotmob.com/players/1724684/adewale-obalola</t>
  </si>
  <si>
    <t xml:space="preserve">Abdullah Taofeek</t>
  </si>
  <si>
    <t xml:space="preserve">2008-02-15</t>
  </si>
  <si>
    <t xml:space="preserve">https://www.fotmob.com/players/1946325/abdullah-taofeek</t>
  </si>
  <si>
    <t xml:space="preserve">Spencer Gordon</t>
  </si>
  <si>
    <t xml:space="preserve">2006-09-27</t>
  </si>
  <si>
    <t xml:space="preserve">https://www.fotmob.com/players/1732545/spencer-gordon</t>
  </si>
  <si>
    <t xml:space="preserve">Eric Dick</t>
  </si>
  <si>
    <t xml:space="preserve">Indy Eleven</t>
  </si>
  <si>
    <t xml:space="preserve">1994-10-03</t>
  </si>
  <si>
    <t xml:space="preserve">https://www.fotmob.com/players/924432/eric-dick</t>
  </si>
  <si>
    <t xml:space="preserve">Reice Charles-Cook</t>
  </si>
  <si>
    <t xml:space="preserve">1994-04-08</t>
  </si>
  <si>
    <t xml:space="preserve">https://www.fotmob.com/players/463910/reice-charles-cook</t>
  </si>
  <si>
    <t xml:space="preserve">Ryan Hunsucker</t>
  </si>
  <si>
    <t xml:space="preserve">2007-07-29</t>
  </si>
  <si>
    <t xml:space="preserve">https://www.fotmob.com/players/1724699/ryan-hunsucker</t>
  </si>
  <si>
    <t xml:space="preserve">Aodhan Quinn</t>
  </si>
  <si>
    <t xml:space="preserve">LB,CM,LWB,LW,LM</t>
  </si>
  <si>
    <t xml:space="preserve">1992-03-22</t>
  </si>
  <si>
    <t xml:space="preserve">https://www.fotmob.com/players/639374/aodhan-quinn</t>
  </si>
  <si>
    <t xml:space="preserve">Paco Craig</t>
  </si>
  <si>
    <t xml:space="preserve">1992-10-19</t>
  </si>
  <si>
    <t xml:space="preserve">https://www.fotmob.com/players/783608/paco-craig</t>
  </si>
  <si>
    <t xml:space="preserve">Anthony Herbert</t>
  </si>
  <si>
    <t xml:space="preserve">1998-04-18</t>
  </si>
  <si>
    <t xml:space="preserve">Trinidad and Tobago</t>
  </si>
  <si>
    <t xml:space="preserve">https://www.fotmob.com/players/1347962/anthony-herbert</t>
  </si>
  <si>
    <t xml:space="preserve">Joe Hafferty</t>
  </si>
  <si>
    <t xml:space="preserve">1998-03-21</t>
  </si>
  <si>
    <t xml:space="preserve">https://www.fotmob.com/players/1256231/joe-hafferty</t>
  </si>
  <si>
    <t xml:space="preserve">Makel Rasheed</t>
  </si>
  <si>
    <t xml:space="preserve">2001-05-14</t>
  </si>
  <si>
    <t xml:space="preserve">https://www.fotmob.com/players/1793931/makel-rasheed</t>
  </si>
  <si>
    <t xml:space="preserve">Alejandro Mitrano</t>
  </si>
  <si>
    <t xml:space="preserve">1998-04-04</t>
  </si>
  <si>
    <t xml:space="preserve">https://www.fotmob.com/players/1044783/alejandro-mitrano</t>
  </si>
  <si>
    <t xml:space="preserve">Nabilai Kibunguchy</t>
  </si>
  <si>
    <t xml:space="preserve">1998-01-05</t>
  </si>
  <si>
    <t xml:space="preserve">https://www.fotmob.com/players/1244947/nabilai-kibunguchy</t>
  </si>
  <si>
    <t xml:space="preserve">Hayden White</t>
  </si>
  <si>
    <t xml:space="preserve">1995-04-15</t>
  </si>
  <si>
    <t xml:space="preserve">https://www.fotmob.com/players/516000/hayden-white</t>
  </si>
  <si>
    <t xml:space="preserve">Hesron Barry</t>
  </si>
  <si>
    <t xml:space="preserve">2000-01-08</t>
  </si>
  <si>
    <t xml:space="preserve">https://www.fotmob.com/players/1627007/hesron-barry</t>
  </si>
  <si>
    <t xml:space="preserve">Patrick Hogan</t>
  </si>
  <si>
    <t xml:space="preserve">1997-09-17</t>
  </si>
  <si>
    <t xml:space="preserve">https://www.fotmob.com/players/1261592/patrick-hogan</t>
  </si>
  <si>
    <t xml:space="preserve">Cam Lindley</t>
  </si>
  <si>
    <t xml:space="preserve">1997-07-18</t>
  </si>
  <si>
    <t xml:space="preserve">https://www.fotmob.com/players/924497/cam-lindley</t>
  </si>
  <si>
    <t xml:space="preserve">Josh O'Brien</t>
  </si>
  <si>
    <t xml:space="preserve">CAM,RM,CM,CDM</t>
  </si>
  <si>
    <t xml:space="preserve">2003-02-07</t>
  </si>
  <si>
    <t xml:space="preserve">https://www.fotmob.com/players/1393400/josh-o-brien</t>
  </si>
  <si>
    <t xml:space="preserve">Jack Blake</t>
  </si>
  <si>
    <t xml:space="preserve">CAM,LM,CM,CDM</t>
  </si>
  <si>
    <t xml:space="preserve">1994-09-22</t>
  </si>
  <si>
    <t xml:space="preserve">https://www.fotmob.com/players/421766/jack-blake</t>
  </si>
  <si>
    <t xml:space="preserve">Mohamed Omar</t>
  </si>
  <si>
    <t xml:space="preserve">1999-01-22</t>
  </si>
  <si>
    <t xml:space="preserve">Somalia</t>
  </si>
  <si>
    <t xml:space="preserve">https://www.fotmob.com/players/1615692/mohamed-omar</t>
  </si>
  <si>
    <t xml:space="preserve">Bruno Rendón</t>
  </si>
  <si>
    <t xml:space="preserve">RW,ST</t>
  </si>
  <si>
    <t xml:space="preserve">https://www.fotmob.com/players/1349934/bruno-rendon</t>
  </si>
  <si>
    <t xml:space="preserve">Loïc Mesanvi</t>
  </si>
  <si>
    <t xml:space="preserve">LW,RM,ST</t>
  </si>
  <si>
    <t xml:space="preserve">2003-10-06</t>
  </si>
  <si>
    <t xml:space="preserve">Togo</t>
  </si>
  <si>
    <t xml:space="preserve">https://www.fotmob.com/players/1349074/loic-mesanvi</t>
  </si>
  <si>
    <t xml:space="preserve">Edward Kizza</t>
  </si>
  <si>
    <t xml:space="preserve">1998-12-17</t>
  </si>
  <si>
    <t xml:space="preserve">https://www.fotmob.com/players/1246572/edward-kizza</t>
  </si>
  <si>
    <t xml:space="preserve">Malik Henry-Scott</t>
  </si>
  <si>
    <t xml:space="preserve">2001-11-28</t>
  </si>
  <si>
    <t xml:space="preserve">https://www.fotmob.com/players/1606022/malik-henry-scott</t>
  </si>
  <si>
    <t xml:space="preserve">Charlie Sharp</t>
  </si>
  <si>
    <t xml:space="preserve">2001-06-23</t>
  </si>
  <si>
    <t xml:space="preserve">https://www.fotmob.com/players/1637791/charlie-sharp</t>
  </si>
  <si>
    <t xml:space="preserve">Dylan Sing</t>
  </si>
  <si>
    <t xml:space="preserve">2000-10-18</t>
  </si>
  <si>
    <t xml:space="preserve">https://www.fotmob.com/players/1641223/dylan-sing</t>
  </si>
  <si>
    <t xml:space="preserve">Tyler Lowden</t>
  </si>
  <si>
    <t xml:space="preserve">2010-10-30</t>
  </si>
  <si>
    <t xml:space="preserve">https://www.fotmob.com/players/2009299/tyler-lowden</t>
  </si>
  <si>
    <t xml:space="preserve">Charlie Lanphier</t>
  </si>
  <si>
    <t xml:space="preserve">Las Vegas Lights FC</t>
  </si>
  <si>
    <t xml:space="preserve">2003-07-07</t>
  </si>
  <si>
    <t xml:space="preserve">https://www.fotmob.com/players/1928363/charlie-lanphier</t>
  </si>
  <si>
    <t xml:space="preserve">Triston Henry</t>
  </si>
  <si>
    <t xml:space="preserve">1993-09-08</t>
  </si>
  <si>
    <t xml:space="preserve">https://www.fotmob.com/players/1067383/triston-henry</t>
  </si>
  <si>
    <t xml:space="preserve">Carver Miller</t>
  </si>
  <si>
    <t xml:space="preserve">2004-06-26</t>
  </si>
  <si>
    <t xml:space="preserve">https://www.fotmob.com/players/1724704/carver-miller</t>
  </si>
  <si>
    <t xml:space="preserve">Joshua Moya</t>
  </si>
  <si>
    <t xml:space="preserve">2001-05-29</t>
  </si>
  <si>
    <t xml:space="preserve">https://www.fotmob.com/players/2009303/joshua-moya</t>
  </si>
  <si>
    <t xml:space="preserve">Aarón Guillén</t>
  </si>
  <si>
    <t xml:space="preserve">1993-06-23</t>
  </si>
  <si>
    <t xml:space="preserve">https://www.fotmob.com/players/729785/aaron-guillen</t>
  </si>
  <si>
    <t xml:space="preserve">Themi Antonoglou</t>
  </si>
  <si>
    <t xml:space="preserve">2001-06-02</t>
  </si>
  <si>
    <t xml:space="preserve">https://www.fotmob.com/players/1259223/themi-antonoglou</t>
  </si>
  <si>
    <t xml:space="preserve">Nate Jones</t>
  </si>
  <si>
    <t xml:space="preserve">2001-08-23</t>
  </si>
  <si>
    <t xml:space="preserve">https://www.fotmob.com/players/1610220/nate-jones</t>
  </si>
  <si>
    <t xml:space="preserve">Nyk Sessock</t>
  </si>
  <si>
    <t xml:space="preserve">2000-06-17</t>
  </si>
  <si>
    <t xml:space="preserve">https://www.fotmob.com/players/1542157/nyk-sessock</t>
  </si>
  <si>
    <t xml:space="preserve">Blake Pope</t>
  </si>
  <si>
    <t xml:space="preserve">2003-04-11</t>
  </si>
  <si>
    <t xml:space="preserve">https://www.fotmob.com/players/1252109/blake-pope</t>
  </si>
  <si>
    <t xml:space="preserve">Ben Ofeimu</t>
  </si>
  <si>
    <t xml:space="preserve">2000-09-30</t>
  </si>
  <si>
    <t xml:space="preserve">https://www.fotmob.com/players/942835/ben-ofeimu</t>
  </si>
  <si>
    <t xml:space="preserve">Shawn Smart</t>
  </si>
  <si>
    <t xml:space="preserve">2004-02-24</t>
  </si>
  <si>
    <t xml:space="preserve">https://www.fotmob.com/players/1615816/shawn-smart</t>
  </si>
  <si>
    <t xml:space="preserve">Callum Stretch</t>
  </si>
  <si>
    <t xml:space="preserve">RB,CB</t>
  </si>
  <si>
    <t xml:space="preserve">1999-09-18</t>
  </si>
  <si>
    <t xml:space="preserve">https://www.fotmob.com/players/1638563/callum-stretch</t>
  </si>
  <si>
    <t xml:space="preserve">Marc Ybarra</t>
  </si>
  <si>
    <t xml:space="preserve">1998-12-18</t>
  </si>
  <si>
    <t xml:space="preserve">https://www.fotmob.com/players/1341112/marc-ybarra</t>
  </si>
  <si>
    <t xml:space="preserve">Giorgio Probo</t>
  </si>
  <si>
    <t xml:space="preserve">1999-07-19</t>
  </si>
  <si>
    <t xml:space="preserve">Italy</t>
  </si>
  <si>
    <t xml:space="preserve">https://www.fotmob.com/players/1644436/giorgio-probo</t>
  </si>
  <si>
    <t xml:space="preserve">Carson Locker</t>
  </si>
  <si>
    <t xml:space="preserve">2007-10-08</t>
  </si>
  <si>
    <t xml:space="preserve">https://www.fotmob.com/players/1767539/carson-locker</t>
  </si>
  <si>
    <t xml:space="preserve">Abraham Okyere</t>
  </si>
  <si>
    <t xml:space="preserve">2002-07-06</t>
  </si>
  <si>
    <t xml:space="preserve">https://www.fotmob.com/players/1276879/abraham-okyere</t>
  </si>
  <si>
    <t xml:space="preserve">Kyle Scott</t>
  </si>
  <si>
    <t xml:space="preserve">1997-12-22</t>
  </si>
  <si>
    <t xml:space="preserve">https://www.fotmob.com/players/759820/kyle-scott</t>
  </si>
  <si>
    <t xml:space="preserve">Patrick Leal</t>
  </si>
  <si>
    <t xml:space="preserve">2003-02-21</t>
  </si>
  <si>
    <t xml:space="preserve">https://www.fotmob.com/players/1368334/patrick-leal</t>
  </si>
  <si>
    <t xml:space="preserve">Edison Azcona</t>
  </si>
  <si>
    <t xml:space="preserve">2003-11-21</t>
  </si>
  <si>
    <t xml:space="preserve">https://www.fotmob.com/players/1174821/edison-azcona</t>
  </si>
  <si>
    <t xml:space="preserve">Christian Pinzón</t>
  </si>
  <si>
    <t xml:space="preserve">RW,LW,RM,CAM,LM,ST</t>
  </si>
  <si>
    <t xml:space="preserve">https://www.fotmob.com/players/1308379/christian-pinzon</t>
  </si>
  <si>
    <t xml:space="preserve">Jonathan Rodriguez</t>
  </si>
  <si>
    <t xml:space="preserve">1998-06-13</t>
  </si>
  <si>
    <t xml:space="preserve">https://www.fotmob.com/players/1253163/jonathan-rodriguez</t>
  </si>
  <si>
    <t xml:space="preserve">Oalex Anderson</t>
  </si>
  <si>
    <t xml:space="preserve">ST,LM,LW</t>
  </si>
  <si>
    <t xml:space="preserve">1995-11-11</t>
  </si>
  <si>
    <t xml:space="preserve">St. Vincent and the Grenadines</t>
  </si>
  <si>
    <t xml:space="preserve">https://www.fotmob.com/players/521306/oalex-anderson</t>
  </si>
  <si>
    <t xml:space="preserve">Manuel Arteaga</t>
  </si>
  <si>
    <t xml:space="preserve">1994-06-17</t>
  </si>
  <si>
    <t xml:space="preserve">Venezuela</t>
  </si>
  <si>
    <t xml:space="preserve">https://www.fotmob.com/players/242923/manuel-arteaga</t>
  </si>
  <si>
    <t xml:space="preserve">Oliver Semmle</t>
  </si>
  <si>
    <t xml:space="preserve">Lexington SC</t>
  </si>
  <si>
    <t xml:space="preserve">1998-03-28</t>
  </si>
  <si>
    <t xml:space="preserve">Germany</t>
  </si>
  <si>
    <t xml:space="preserve">https://www.fotmob.com/players/1448069/oliver-semmle</t>
  </si>
  <si>
    <t xml:space="preserve">Logan Ketterer</t>
  </si>
  <si>
    <t xml:space="preserve">1993-11-09</t>
  </si>
  <si>
    <t xml:space="preserve">https://www.fotmob.com/players/838225/logan-ketterer</t>
  </si>
  <si>
    <t xml:space="preserve">Brooks Thompson</t>
  </si>
  <si>
    <t xml:space="preserve">2002-05-28</t>
  </si>
  <si>
    <t xml:space="preserve">https://www.fotmob.com/players/1083232/brooks-thompson</t>
  </si>
  <si>
    <t xml:space="preserve">Garrett Addams</t>
  </si>
  <si>
    <t xml:space="preserve">2008-03-25</t>
  </si>
  <si>
    <t xml:space="preserve">https://www.fotmob.com/players/1921045/garrett-addams</t>
  </si>
  <si>
    <t xml:space="preserve">Kendall Burks</t>
  </si>
  <si>
    <t xml:space="preserve">1999-10-08</t>
  </si>
  <si>
    <t xml:space="preserve">https://www.fotmob.com/players/1338616/kendall-burks</t>
  </si>
  <si>
    <t xml:space="preserve">Jacob Greene</t>
  </si>
  <si>
    <t xml:space="preserve">LB,RB</t>
  </si>
  <si>
    <t xml:space="preserve">2003-03-23</t>
  </si>
  <si>
    <t xml:space="preserve">https://www.fotmob.com/players/1190665/jacob-greene</t>
  </si>
  <si>
    <t xml:space="preserve">Xavier Zengue</t>
  </si>
  <si>
    <t xml:space="preserve">2001-03-21</t>
  </si>
  <si>
    <t xml:space="preserve">https://www.fotmob.com/players/1440019/xavier-zengue</t>
  </si>
  <si>
    <t xml:space="preserve">Javain Brown</t>
  </si>
  <si>
    <t xml:space="preserve">1999-03-09</t>
  </si>
  <si>
    <t xml:space="preserve">https://www.fotmob.com/players/876136/javain-brown</t>
  </si>
  <si>
    <t xml:space="preserve">Marqes Muir</t>
  </si>
  <si>
    <t xml:space="preserve">2002-09-21</t>
  </si>
  <si>
    <t xml:space="preserve">https://www.fotmob.com/players/1238237/marqes-muir</t>
  </si>
  <si>
    <t xml:space="preserve">Patrick Seagrist</t>
  </si>
  <si>
    <t xml:space="preserve">LWB,LB,LM</t>
  </si>
  <si>
    <t xml:space="preserve">1998-02-21</t>
  </si>
  <si>
    <t xml:space="preserve">https://www.fotmob.com/players/1136639/patrick-seagrist</t>
  </si>
  <si>
    <t xml:space="preserve">Andrew Caborn</t>
  </si>
  <si>
    <t xml:space="preserve">2008-05-21</t>
  </si>
  <si>
    <t xml:space="preserve">https://www.fotmob.com/players/1921044/andrew-caborn</t>
  </si>
  <si>
    <t xml:space="preserve">Brady Stockton</t>
  </si>
  <si>
    <t xml:space="preserve">2008-04-17</t>
  </si>
  <si>
    <t xml:space="preserve">https://www.fotmob.com/players/2164866/brady-stockton</t>
  </si>
  <si>
    <t xml:space="preserve">Blaine Ferri</t>
  </si>
  <si>
    <t xml:space="preserve">2000-09-29</t>
  </si>
  <si>
    <t xml:space="preserve">https://www.fotmob.com/players/1346890/blaine-ferri</t>
  </si>
  <si>
    <t xml:space="preserve">Aaron Molloy</t>
  </si>
  <si>
    <t xml:space="preserve">1997-01-11</t>
  </si>
  <si>
    <t xml:space="preserve">https://www.fotmob.com/players/731870/aaron-molloy</t>
  </si>
  <si>
    <t xml:space="preserve">Nick Firmino</t>
  </si>
  <si>
    <t xml:space="preserve">CAM,RW,ST,CDM</t>
  </si>
  <si>
    <t xml:space="preserve">2001-01-30</t>
  </si>
  <si>
    <t xml:space="preserve">https://www.fotmob.com/players/1026160/nick-firmino</t>
  </si>
  <si>
    <t xml:space="preserve">Noble Okello</t>
  </si>
  <si>
    <t xml:space="preserve">ST,CAM,CDM,CM</t>
  </si>
  <si>
    <t xml:space="preserve">2000-07-20</t>
  </si>
  <si>
    <t xml:space="preserve">https://www.fotmob.com/players/1016092/noble-okello</t>
  </si>
  <si>
    <t xml:space="preserve">Braudílio Rodrigues</t>
  </si>
  <si>
    <t xml:space="preserve">CAM,LW,LM,ST</t>
  </si>
  <si>
    <t xml:space="preserve">1999-11-15</t>
  </si>
  <si>
    <t xml:space="preserve">https://www.fotmob.com/players/1188643/braudilio-rodrigues</t>
  </si>
  <si>
    <t xml:space="preserve">Cielo Tschantret</t>
  </si>
  <si>
    <t xml:space="preserve">2006-02-22</t>
  </si>
  <si>
    <t xml:space="preserve">https://www.fotmob.com/players/1468886/cielo-tschantret</t>
  </si>
  <si>
    <t xml:space="preserve">Trenton Kutch</t>
  </si>
  <si>
    <t xml:space="preserve">2007-09-21</t>
  </si>
  <si>
    <t xml:space="preserve">https://www.fotmob.com/players/1997564/trenton-kutch</t>
  </si>
  <si>
    <t xml:space="preserve">Luís Felipe</t>
  </si>
  <si>
    <t xml:space="preserve">1996-01-29</t>
  </si>
  <si>
    <t xml:space="preserve">https://www.fotmob.com/players/769782/luis-felipe</t>
  </si>
  <si>
    <t xml:space="preserve">Marcus Epps</t>
  </si>
  <si>
    <t xml:space="preserve">LW,RM,LWB,RW,LM</t>
  </si>
  <si>
    <t xml:space="preserve">1995-01-16</t>
  </si>
  <si>
    <t xml:space="preserve">https://www.fotmob.com/players/825666/marcus-epps</t>
  </si>
  <si>
    <t xml:space="preserve">Phillip Goodrum</t>
  </si>
  <si>
    <t xml:space="preserve">1997-06-20</t>
  </si>
  <si>
    <t xml:space="preserve">https://www.fotmob.com/players/1134448/phillip-goodrum</t>
  </si>
  <si>
    <t xml:space="preserve">Tarik Scott</t>
  </si>
  <si>
    <t xml:space="preserve">2005-04-23</t>
  </si>
  <si>
    <t xml:space="preserve">https://www.fotmob.com/players/1351047/tarik-scott</t>
  </si>
  <si>
    <t xml:space="preserve">Malcolm Fry</t>
  </si>
  <si>
    <t xml:space="preserve">2005-05-15</t>
  </si>
  <si>
    <t xml:space="preserve">https://www.fotmob.com/players/1403414/malcolm-fry</t>
  </si>
  <si>
    <t xml:space="preserve">Jonathan Lewis</t>
  </si>
  <si>
    <t xml:space="preserve">1997-06-04</t>
  </si>
  <si>
    <t xml:space="preserve">https://www.fotmob.com/players/825619/jonathan-lewis</t>
  </si>
  <si>
    <t xml:space="preserve">Milo Yosef</t>
  </si>
  <si>
    <t xml:space="preserve">1998-09-11</t>
  </si>
  <si>
    <t xml:space="preserve">https://www.fotmob.com/players/1447918/milo-yosef</t>
  </si>
  <si>
    <t xml:space="preserve">Jonathan Stout</t>
  </si>
  <si>
    <t xml:space="preserve">2003-10-13</t>
  </si>
  <si>
    <t xml:space="preserve">https://www.fotmob.com/players/1935080/jonathan-stout</t>
  </si>
  <si>
    <t xml:space="preserve">Ethan Bandré</t>
  </si>
  <si>
    <t xml:space="preserve">Loudoun United FC</t>
  </si>
  <si>
    <t xml:space="preserve">1998-09-14</t>
  </si>
  <si>
    <t xml:space="preserve">https://www.fotmob.com/players/1346730/ethan-bandre</t>
  </si>
  <si>
    <t xml:space="preserve">Jordan Farr</t>
  </si>
  <si>
    <t xml:space="preserve">1994-10-05</t>
  </si>
  <si>
    <t xml:space="preserve">https://www.fotmob.com/players/1078951/jordan-farr</t>
  </si>
  <si>
    <t xml:space="preserve">Kwame Awuah</t>
  </si>
  <si>
    <t xml:space="preserve">1995-12-02</t>
  </si>
  <si>
    <t xml:space="preserve">https://www.fotmob.com/players/825620/kwame-awuah</t>
  </si>
  <si>
    <t xml:space="preserve">Bolu Akinyode</t>
  </si>
  <si>
    <t xml:space="preserve">1994-05-30</t>
  </si>
  <si>
    <t xml:space="preserve">https://www.fotmob.com/players/675538/bolu-akinyode</t>
  </si>
  <si>
    <t xml:space="preserve">Noah Adnan</t>
  </si>
  <si>
    <t xml:space="preserve">2002-01-21</t>
  </si>
  <si>
    <t xml:space="preserve">https://www.fotmob.com/players/1719157/noah-adnan</t>
  </si>
  <si>
    <t xml:space="preserve">Pacifique Niyongabire</t>
  </si>
  <si>
    <t xml:space="preserve">RB,RWB,RM</t>
  </si>
  <si>
    <t xml:space="preserve">2000-03-15</t>
  </si>
  <si>
    <t xml:space="preserve">Burundi</t>
  </si>
  <si>
    <t xml:space="preserve">https://www.fotmob.com/players/915626/pacifique-niyongabire</t>
  </si>
  <si>
    <t xml:space="preserve">Salvatore Mazzaferro</t>
  </si>
  <si>
    <t xml:space="preserve">2001-10-11</t>
  </si>
  <si>
    <t xml:space="preserve">https://www.fotmob.com/players/1500407/salvatore-mazzaferro</t>
  </si>
  <si>
    <t xml:space="preserve">Jacob Erlandson</t>
  </si>
  <si>
    <t xml:space="preserve">1999-03-14</t>
  </si>
  <si>
    <t xml:space="preserve">https://www.fotmob.com/players/1338758/jacob-erlandson</t>
  </si>
  <si>
    <t xml:space="preserve">Aidan O'Connor</t>
  </si>
  <si>
    <t xml:space="preserve">2001-10-07</t>
  </si>
  <si>
    <t xml:space="preserve">https://www.fotmob.com/players/1611219/aidan-o-connor</t>
  </si>
  <si>
    <t xml:space="preserve">Ezra Armstrong</t>
  </si>
  <si>
    <t xml:space="preserve">1998-12-15</t>
  </si>
  <si>
    <t xml:space="preserve">https://www.fotmob.com/players/1109656/ezra-armstrong</t>
  </si>
  <si>
    <t xml:space="preserve">Liam Barrus</t>
  </si>
  <si>
    <t xml:space="preserve">2007-09-10</t>
  </si>
  <si>
    <t xml:space="preserve">https://www.fotmob.com/players/2030039/liam-barrus</t>
  </si>
  <si>
    <t xml:space="preserve">James Murphy</t>
  </si>
  <si>
    <t xml:space="preserve">https://www.fotmob.com/players/780567/james-murphy</t>
  </si>
  <si>
    <t xml:space="preserve">Richard Aman</t>
  </si>
  <si>
    <t xml:space="preserve">LW,CAM,LWB,LM</t>
  </si>
  <si>
    <t xml:space="preserve">2004-03-16</t>
  </si>
  <si>
    <t xml:space="preserve">https://www.fotmob.com/players/1459269/richard-aman</t>
  </si>
  <si>
    <t xml:space="preserve">Pedro Santos</t>
  </si>
  <si>
    <t xml:space="preserve">1988-04-22</t>
  </si>
  <si>
    <t xml:space="preserve">Portugal</t>
  </si>
  <si>
    <t xml:space="preserve">https://www.fotmob.com/players/281628/pedro-santos</t>
  </si>
  <si>
    <t xml:space="preserve">Jack Panayotou</t>
  </si>
  <si>
    <t xml:space="preserve">CAM,RW,RM</t>
  </si>
  <si>
    <t xml:space="preserve">2004-06-05</t>
  </si>
  <si>
    <t xml:space="preserve">https://www.fotmob.com/players/1358177/jack-panayotou</t>
  </si>
  <si>
    <t xml:space="preserve">Marcos Dias</t>
  </si>
  <si>
    <t xml:space="preserve">2001-11-30</t>
  </si>
  <si>
    <t xml:space="preserve">https://www.fotmob.com/players/1346863/marcos-dias</t>
  </si>
  <si>
    <t xml:space="preserve">Sean Young</t>
  </si>
  <si>
    <t xml:space="preserve">2001-04-20</t>
  </si>
  <si>
    <t xml:space="preserve">https://www.fotmob.com/players/1309795/sean-young</t>
  </si>
  <si>
    <t xml:space="preserve">Akil Watts</t>
  </si>
  <si>
    <t xml:space="preserve">CAM,CDM</t>
  </si>
  <si>
    <t xml:space="preserve">2000-02-04</t>
  </si>
  <si>
    <t xml:space="preserve">https://www.fotmob.com/players/1079296/akil-watts</t>
  </si>
  <si>
    <t xml:space="preserve">Luca Piras</t>
  </si>
  <si>
    <t xml:space="preserve">2004-04-09</t>
  </si>
  <si>
    <t xml:space="preserve">https://www.fotmob.com/players/1576399/luca-piras</t>
  </si>
  <si>
    <t xml:space="preserve">Rida Zouhir</t>
  </si>
  <si>
    <t xml:space="preserve">2003-11-23</t>
  </si>
  <si>
    <t xml:space="preserve">https://www.fotmob.com/players/1216799/rida-zouhir</t>
  </si>
  <si>
    <t xml:space="preserve">Abdellatif Aboukoura</t>
  </si>
  <si>
    <t xml:space="preserve">LW,CAM,ST,LM</t>
  </si>
  <si>
    <t xml:space="preserve">2004-10-16</t>
  </si>
  <si>
    <t xml:space="preserve">Egypt</t>
  </si>
  <si>
    <t xml:space="preserve">https://www.fotmob.com/players/1252526/abdellatif-aboukoura</t>
  </si>
  <si>
    <t xml:space="preserve">Christian Torres</t>
  </si>
  <si>
    <t xml:space="preserve">2004-04-15</t>
  </si>
  <si>
    <t xml:space="preserve">https://www.fotmob.com/players/1166560/christian-torres</t>
  </si>
  <si>
    <t xml:space="preserve">Eddy Davis III</t>
  </si>
  <si>
    <t xml:space="preserve">2006-06-17</t>
  </si>
  <si>
    <t xml:space="preserve">https://www.fotmob.com/players/1374959/eddy-davis-iii</t>
  </si>
  <si>
    <t xml:space="preserve">Giorgi Lomtadze</t>
  </si>
  <si>
    <t xml:space="preserve">2001-10-30</t>
  </si>
  <si>
    <t xml:space="preserve">Georgia</t>
  </si>
  <si>
    <t xml:space="preserve">https://www.fotmob.com/players/1241617/giorgi-lomtadze</t>
  </si>
  <si>
    <t xml:space="preserve">Liam Butts</t>
  </si>
  <si>
    <t xml:space="preserve">2001-02-20</t>
  </si>
  <si>
    <t xml:space="preserve">Guyana</t>
  </si>
  <si>
    <t xml:space="preserve">https://www.fotmob.com/players/1647585/liam-butts</t>
  </si>
  <si>
    <t xml:space="preserve">Danny Faundez</t>
  </si>
  <si>
    <t xml:space="preserve">Louisville City FC</t>
  </si>
  <si>
    <t xml:space="preserve">1993-02-02</t>
  </si>
  <si>
    <t xml:space="preserve">https://www.fotmob.com/players/1192554/danny-faundez</t>
  </si>
  <si>
    <t xml:space="preserve">Hugo Fauroux</t>
  </si>
  <si>
    <t xml:space="preserve">1996-08-23</t>
  </si>
  <si>
    <t xml:space="preserve">https://www.fotmob.com/players/1252620/hugo-fauroux</t>
  </si>
  <si>
    <t xml:space="preserve">Ryan Schewe</t>
  </si>
  <si>
    <t xml:space="preserve">2002-03-08</t>
  </si>
  <si>
    <t xml:space="preserve">https://www.fotmob.com/players/1642172/ryan-schewe</t>
  </si>
  <si>
    <t xml:space="preserve">Ryan Troutman</t>
  </si>
  <si>
    <t xml:space="preserve">2000-05-15</t>
  </si>
  <si>
    <t xml:space="preserve">https://www.fotmob.com/players/1652403/ryan-troutman</t>
  </si>
  <si>
    <t xml:space="preserve">Collin Haus</t>
  </si>
  <si>
    <t xml:space="preserve">2008-06-17</t>
  </si>
  <si>
    <t xml:space="preserve">https://www.fotmob.com/players/2297260/collin-haus</t>
  </si>
  <si>
    <t xml:space="preserve">Kyle Adams</t>
  </si>
  <si>
    <t xml:space="preserve">1996-11-20</t>
  </si>
  <si>
    <t xml:space="preserve">New Zealand</t>
  </si>
  <si>
    <t xml:space="preserve">https://www.fotmob.com/players/1072318/kyle-adams</t>
  </si>
  <si>
    <t xml:space="preserve">Sean Totsch</t>
  </si>
  <si>
    <t xml:space="preserve">1991-09-16</t>
  </si>
  <si>
    <t xml:space="preserve">https://www.fotmob.com/players/681621/sean-totsch</t>
  </si>
  <si>
    <t xml:space="preserve">Brandon Dayes</t>
  </si>
  <si>
    <t xml:space="preserve">2008-12-17</t>
  </si>
  <si>
    <t xml:space="preserve">https://www.fotmob.com/players/1678153/brandon-dayes</t>
  </si>
  <si>
    <t xml:space="preserve">Carlos Moguel</t>
  </si>
  <si>
    <t xml:space="preserve">2003-06-21</t>
  </si>
  <si>
    <t xml:space="preserve">https://www.fotmob.com/players/1252865/carlos-moguel</t>
  </si>
  <si>
    <t xml:space="preserve">Josh Jones</t>
  </si>
  <si>
    <t xml:space="preserve">2002-11-19</t>
  </si>
  <si>
    <t xml:space="preserve">https://www.fotmob.com/players/1516711/josh-jones</t>
  </si>
  <si>
    <t xml:space="preserve">Taylor Davila</t>
  </si>
  <si>
    <t xml:space="preserve">2000-08-04</t>
  </si>
  <si>
    <t xml:space="preserve">https://www.fotmob.com/players/1251788/taylor-davila</t>
  </si>
  <si>
    <t xml:space="preserve">Jansen Wilson</t>
  </si>
  <si>
    <t xml:space="preserve">LW,CAM,RM,LM,RWB,RW</t>
  </si>
  <si>
    <t xml:space="preserve">2001-06-14</t>
  </si>
  <si>
    <t xml:space="preserve">https://www.fotmob.com/players/1615825/jansen-wilson</t>
  </si>
  <si>
    <t xml:space="preserve">Aiden McFadden</t>
  </si>
  <si>
    <t xml:space="preserve">CB,RWB,RM,LWB,LM</t>
  </si>
  <si>
    <t xml:space="preserve">1998-09-28</t>
  </si>
  <si>
    <t xml:space="preserve">https://www.fotmob.com/players/1250356/aiden-mcfadden</t>
  </si>
  <si>
    <t xml:space="preserve">Jake Morris</t>
  </si>
  <si>
    <t xml:space="preserve">LWB,LM</t>
  </si>
  <si>
    <t xml:space="preserve">1999-03-03</t>
  </si>
  <si>
    <t xml:space="preserve">https://www.fotmob.com/players/1338761/jake-morris</t>
  </si>
  <si>
    <t xml:space="preserve">Ray Serrano</t>
  </si>
  <si>
    <t xml:space="preserve">LW,CAM,LM</t>
  </si>
  <si>
    <t xml:space="preserve">2002-05-09</t>
  </si>
  <si>
    <t xml:space="preserve">https://www.fotmob.com/players/1083224/ray-serrano</t>
  </si>
  <si>
    <t xml:space="preserve">Manny Perez</t>
  </si>
  <si>
    <t xml:space="preserve">RWB,RM</t>
  </si>
  <si>
    <t xml:space="preserve">1999-02-19</t>
  </si>
  <si>
    <t xml:space="preserve">https://www.fotmob.com/players/1018588/manny-perez</t>
  </si>
  <si>
    <t xml:space="preserve">Zach Duncan</t>
  </si>
  <si>
    <t xml:space="preserve">2000-05-31</t>
  </si>
  <si>
    <t xml:space="preserve">https://www.fotmob.com/players/1030785/zach-duncan</t>
  </si>
  <si>
    <t xml:space="preserve">Amadou Dia</t>
  </si>
  <si>
    <t xml:space="preserve">LM,CB,LWB</t>
  </si>
  <si>
    <t xml:space="preserve">1993-06-08</t>
  </si>
  <si>
    <t xml:space="preserve">https://www.fotmob.com/players/621932/amadou-dia</t>
  </si>
  <si>
    <t xml:space="preserve">Kevon Lambert</t>
  </si>
  <si>
    <t xml:space="preserve">CM,CDM,CB</t>
  </si>
  <si>
    <t xml:space="preserve">1997-03-22</t>
  </si>
  <si>
    <t xml:space="preserve">https://www.fotmob.com/players/822741/kevon-lambert</t>
  </si>
  <si>
    <t xml:space="preserve">Sam Gleadle</t>
  </si>
  <si>
    <t xml:space="preserve">RM,RWB</t>
  </si>
  <si>
    <t xml:space="preserve">1996-03-20</t>
  </si>
  <si>
    <t xml:space="preserve">https://www.fotmob.com/players/1035619/sam-gleadle</t>
  </si>
  <si>
    <t xml:space="preserve">Babacar Niang</t>
  </si>
  <si>
    <t xml:space="preserve">2001-10-23</t>
  </si>
  <si>
    <t xml:space="preserve">https://www.fotmob.com/players/1780447/babacar-niang</t>
  </si>
  <si>
    <t xml:space="preserve">Cameron Duke</t>
  </si>
  <si>
    <t xml:space="preserve">2001-02-13</t>
  </si>
  <si>
    <t xml:space="preserve">https://www.fotmob.com/players/1166263/cameron-duke</t>
  </si>
  <si>
    <t xml:space="preserve">Chris Donovan</t>
  </si>
  <si>
    <t xml:space="preserve">2000-08-08</t>
  </si>
  <si>
    <t xml:space="preserve">https://www.fotmob.com/players/1346897/chris-donovan</t>
  </si>
  <si>
    <t xml:space="preserve">Evan Davila</t>
  </si>
  <si>
    <t xml:space="preserve">RW,CM</t>
  </si>
  <si>
    <t xml:space="preserve">2002-02-07</t>
  </si>
  <si>
    <t xml:space="preserve">https://www.fotmob.com/players/1623834/evan-davila</t>
  </si>
  <si>
    <t xml:space="preserve">Mukwelle Akale</t>
  </si>
  <si>
    <t xml:space="preserve">1997-01-18</t>
  </si>
  <si>
    <t xml:space="preserve">https://www.fotmob.com/players/973779/mukwelle-akale</t>
  </si>
  <si>
    <t xml:space="preserve">Tola Showunmi</t>
  </si>
  <si>
    <t xml:space="preserve">2000-07-03</t>
  </si>
  <si>
    <t xml:space="preserve">https://www.fotmob.com/players/1448115/tola-showunmi</t>
  </si>
  <si>
    <t xml:space="preserve">Quenzi Huerman</t>
  </si>
  <si>
    <t xml:space="preserve">2001-07-21</t>
  </si>
  <si>
    <t xml:space="preserve">https://www.fotmob.com/players/1615750/quenzi-huerman</t>
  </si>
  <si>
    <t xml:space="preserve">Cooper Conley</t>
  </si>
  <si>
    <t xml:space="preserve">2007-06-29</t>
  </si>
  <si>
    <t xml:space="preserve">https://www.fotmob.com/players/2110953/cooper-conley</t>
  </si>
  <si>
    <t xml:space="preserve">Eloy Room</t>
  </si>
  <si>
    <t xml:space="preserve">Miami FC</t>
  </si>
  <si>
    <t xml:space="preserve">1989-02-06</t>
  </si>
  <si>
    <t xml:space="preserve">Curaçao</t>
  </si>
  <si>
    <t xml:space="preserve">https://www.fotmob.com/players/150242/eloy-room</t>
  </si>
  <si>
    <t xml:space="preserve">Felipe Rodriguez</t>
  </si>
  <si>
    <t xml:space="preserve">2004-05-14</t>
  </si>
  <si>
    <t xml:space="preserve">https://www.fotmob.com/players/1640878/felipe-rodriguez</t>
  </si>
  <si>
    <t xml:space="preserve">Cristian Blanco</t>
  </si>
  <si>
    <t xml:space="preserve">1991-11-30</t>
  </si>
  <si>
    <t xml:space="preserve">https://www.fotmob.com/players/2084621/cristian-blanco</t>
  </si>
  <si>
    <t xml:space="preserve">Julian Rodriguez</t>
  </si>
  <si>
    <t xml:space="preserve">2005-01-16</t>
  </si>
  <si>
    <t xml:space="preserve">https://www.fotmob.com/players/2030061/julian-rodriguez</t>
  </si>
  <si>
    <t xml:space="preserve">Gavin Gonsalves</t>
  </si>
  <si>
    <t xml:space="preserve">2008-04-24</t>
  </si>
  <si>
    <t xml:space="preserve">https://www.fotmob.com/players/1923044/gavin-gonsalves</t>
  </si>
  <si>
    <t xml:space="preserve">Alessandro Milesi</t>
  </si>
  <si>
    <t xml:space="preserve">LB,LM,LWB</t>
  </si>
  <si>
    <t xml:space="preserve">1999-12-21</t>
  </si>
  <si>
    <t xml:space="preserve">Peru</t>
  </si>
  <si>
    <t xml:space="preserve">https://www.fotmob.com/players/1006668/alessandro-milesi</t>
  </si>
  <si>
    <t xml:space="preserve">Daltyn Knutson</t>
  </si>
  <si>
    <t xml:space="preserve">1997-03-01</t>
  </si>
  <si>
    <t xml:space="preserve">https://www.fotmob.com/players/1082131/daltyn-knutson</t>
  </si>
  <si>
    <t xml:space="preserve">Angelo Calfo</t>
  </si>
  <si>
    <t xml:space="preserve">1998-11-04</t>
  </si>
  <si>
    <t xml:space="preserve">https://www.fotmob.com/players/1455128/angelo-calfo</t>
  </si>
  <si>
    <t xml:space="preserve">Bachir Ndiaye</t>
  </si>
  <si>
    <t xml:space="preserve">RB,CB,CM,CDM</t>
  </si>
  <si>
    <t xml:space="preserve">1999-01-27</t>
  </si>
  <si>
    <t xml:space="preserve">https://www.fotmob.com/players/1666352/bachir-ndiaye</t>
  </si>
  <si>
    <t xml:space="preserve">Arthur Rogers</t>
  </si>
  <si>
    <t xml:space="preserve">1996-09-26</t>
  </si>
  <si>
    <t xml:space="preserve">https://www.fotmob.com/players/1170994/arthur-rogers</t>
  </si>
  <si>
    <t xml:space="preserve">Tulu</t>
  </si>
  <si>
    <t xml:space="preserve">https://www.fotmob.com/players/1081944/tulu</t>
  </si>
  <si>
    <t xml:space="preserve">Harwan Al Zubaidi</t>
  </si>
  <si>
    <t xml:space="preserve">1999-10-15</t>
  </si>
  <si>
    <t xml:space="preserve">Yemen</t>
  </si>
  <si>
    <t xml:space="preserve">https://www.fotmob.com/players/1431293/harwan-al-zubaidi</t>
  </si>
  <si>
    <t xml:space="preserve">Jonathan Levin</t>
  </si>
  <si>
    <t xml:space="preserve">1993-05-06</t>
  </si>
  <si>
    <t xml:space="preserve">https://www.fotmob.com/players/668489/jonathan-levin</t>
  </si>
  <si>
    <t xml:space="preserve">Jeremy Medranda</t>
  </si>
  <si>
    <t xml:space="preserve">https://www.fotmob.com/players/1967853/jeremy-medranda</t>
  </si>
  <si>
    <t xml:space="preserve">Justin White</t>
  </si>
  <si>
    <t xml:space="preserve">2007-10-12</t>
  </si>
  <si>
    <t xml:space="preserve">https://www.fotmob.com/players/2130545/justin-white</t>
  </si>
  <si>
    <t xml:space="preserve">Matías Romero</t>
  </si>
  <si>
    <t xml:space="preserve">RM,CM,RWB,RW,CDM</t>
  </si>
  <si>
    <t xml:space="preserve">1996-02-01</t>
  </si>
  <si>
    <t xml:space="preserve">https://www.fotmob.com/players/660079/matias-romero</t>
  </si>
  <si>
    <t xml:space="preserve">Rodrigo da Costa</t>
  </si>
  <si>
    <t xml:space="preserve">CM,ST,CAM,RM,RW</t>
  </si>
  <si>
    <t xml:space="preserve">1993-12-20</t>
  </si>
  <si>
    <t xml:space="preserve">https://www.fotmob.com/players/1035025/rodrigo-da-costa</t>
  </si>
  <si>
    <t xml:space="preserve">Riyon Tori</t>
  </si>
  <si>
    <t xml:space="preserve">2001-09-25</t>
  </si>
  <si>
    <t xml:space="preserve">https://www.fotmob.com/players/1610327/riyon-tori</t>
  </si>
  <si>
    <t xml:space="preserve">Joel Soñora</t>
  </si>
  <si>
    <t xml:space="preserve">CM,CAM,LW,CDM,ST</t>
  </si>
  <si>
    <t xml:space="preserve">1996-09-15</t>
  </si>
  <si>
    <t xml:space="preserve">https://www.fotmob.com/players/643612/joel-sonora</t>
  </si>
  <si>
    <t xml:space="preserve">Gerald Díaz</t>
  </si>
  <si>
    <t xml:space="preserve">CM,CDM,RW</t>
  </si>
  <si>
    <t xml:space="preserve">1999-03-29</t>
  </si>
  <si>
    <t xml:space="preserve">https://www.fotmob.com/players/855287/gerald-diaz</t>
  </si>
  <si>
    <t xml:space="preserve">Tommy Musto</t>
  </si>
  <si>
    <t xml:space="preserve">2003-11-10</t>
  </si>
  <si>
    <t xml:space="preserve">https://www.fotmob.com/players/1524674/tommy-musto</t>
  </si>
  <si>
    <t xml:space="preserve">Mame Diallo</t>
  </si>
  <si>
    <t xml:space="preserve">2007-12-05</t>
  </si>
  <si>
    <t xml:space="preserve">https://www.fotmob.com/players/1938728/mame-diallo</t>
  </si>
  <si>
    <t xml:space="preserve">Arney Rocha</t>
  </si>
  <si>
    <t xml:space="preserve">LW,ST,CAM</t>
  </si>
  <si>
    <t xml:space="preserve">2003-09-22</t>
  </si>
  <si>
    <t xml:space="preserve">https://www.fotmob.com/players/1392871/arney-rocha</t>
  </si>
  <si>
    <t xml:space="preserve">Mason Tunbridge</t>
  </si>
  <si>
    <t xml:space="preserve">RW,CAM,ST,RM</t>
  </si>
  <si>
    <t xml:space="preserve">2000-12-27</t>
  </si>
  <si>
    <t xml:space="preserve">https://www.fotmob.com/players/1626466/mason-tunbridge</t>
  </si>
  <si>
    <t xml:space="preserve">Denilson Milanés</t>
  </si>
  <si>
    <t xml:space="preserve">2002-12-16</t>
  </si>
  <si>
    <t xml:space="preserve">https://www.fotmob.com/players/1421734/denilson-milanes</t>
  </si>
  <si>
    <t xml:space="preserve">Diego Mello</t>
  </si>
  <si>
    <t xml:space="preserve">2007-01-09</t>
  </si>
  <si>
    <t xml:space="preserve">https://www.fotmob.com/players/1804489/diego-mello</t>
  </si>
  <si>
    <t xml:space="preserve">Massimo Mlekus</t>
  </si>
  <si>
    <t xml:space="preserve">2007-01-11</t>
  </si>
  <si>
    <t xml:space="preserve">https://www.fotmob.com/players/2130546/massimo-mlekus</t>
  </si>
  <si>
    <t xml:space="preserve">Jacob Jackson</t>
  </si>
  <si>
    <t xml:space="preserve">Monterey Bay FC</t>
  </si>
  <si>
    <t xml:space="preserve">2000-04-25</t>
  </si>
  <si>
    <t xml:space="preserve">https://www.fotmob.com/players/1339415/jacob-jackson</t>
  </si>
  <si>
    <t xml:space="preserve">Fernando Delgado</t>
  </si>
  <si>
    <t xml:space="preserve">2006-07-25</t>
  </si>
  <si>
    <t xml:space="preserve">https://www.fotmob.com/players/1261616/fernando-delgado</t>
  </si>
  <si>
    <t xml:space="preserve">Ciaran Dalton</t>
  </si>
  <si>
    <t xml:space="preserve">2004-01-21</t>
  </si>
  <si>
    <t xml:space="preserve">https://www.fotmob.com/players/1190741/ciaran-dalton</t>
  </si>
  <si>
    <t xml:space="preserve">Zack Farnsworth</t>
  </si>
  <si>
    <t xml:space="preserve">2002-07-13</t>
  </si>
  <si>
    <t xml:space="preserve">https://www.fotmob.com/players/1190745/zack-farnsworth</t>
  </si>
  <si>
    <t xml:space="preserve">Joel Garcia</t>
  </si>
  <si>
    <t xml:space="preserve">RB,RM,LB</t>
  </si>
  <si>
    <t xml:space="preserve">2002-04-26</t>
  </si>
  <si>
    <t xml:space="preserve">https://www.fotmob.com/players/1626139/joel-garcia</t>
  </si>
  <si>
    <t xml:space="preserve">Kelsey Egwu</t>
  </si>
  <si>
    <t xml:space="preserve">2004-02-01</t>
  </si>
  <si>
    <t xml:space="preserve">https://www.fotmob.com/players/1682712/kelsey-egwu</t>
  </si>
  <si>
    <t xml:space="preserve">Nicholas Gordon</t>
  </si>
  <si>
    <t xml:space="preserve">2002-04-28</t>
  </si>
  <si>
    <t xml:space="preserve">Montserrat</t>
  </si>
  <si>
    <t xml:space="preserve">https://www.fotmob.com/players/1159160/nicholas-gordon</t>
  </si>
  <si>
    <t xml:space="preserve">Stuart Ritchie</t>
  </si>
  <si>
    <t xml:space="preserve">LB,LM</t>
  </si>
  <si>
    <t xml:space="preserve">https://www.fotmob.com/players/1372216/stuart-ritchie</t>
  </si>
  <si>
    <t xml:space="preserve">Luka Malešević</t>
  </si>
  <si>
    <t xml:space="preserve">1998-08-01</t>
  </si>
  <si>
    <t xml:space="preserve">Montenegro</t>
  </si>
  <si>
    <t xml:space="preserve">https://www.fotmob.com/players/1079865/luka-malesevic</t>
  </si>
  <si>
    <t xml:space="preserve">Quinton Elliot</t>
  </si>
  <si>
    <t xml:space="preserve">2004-01-30</t>
  </si>
  <si>
    <t xml:space="preserve">https://www.fotmob.com/players/1780532/quinton-elliot</t>
  </si>
  <si>
    <t xml:space="preserve">Abdel Talabi</t>
  </si>
  <si>
    <t xml:space="preserve">2001-07-03</t>
  </si>
  <si>
    <t xml:space="preserve">https://www.fotmob.com/players/1897440/abdel-talabi</t>
  </si>
  <si>
    <t xml:space="preserve">Andres O'Neal</t>
  </si>
  <si>
    <t xml:space="preserve">2009-06-05</t>
  </si>
  <si>
    <t xml:space="preserve">https://www.fotmob.com/players/1921665/andres-o-neal</t>
  </si>
  <si>
    <t xml:space="preserve">Diego Carbajal</t>
  </si>
  <si>
    <t xml:space="preserve">2007-12-13</t>
  </si>
  <si>
    <t xml:space="preserve">https://www.fotmob.com/players/2009302/diego-carbajal</t>
  </si>
  <si>
    <t xml:space="preserve">Ryuga Nakamura</t>
  </si>
  <si>
    <t xml:space="preserve">2001-07-24</t>
  </si>
  <si>
    <t xml:space="preserve">https://www.fotmob.com/players/1358343/ryuga-nakamura</t>
  </si>
  <si>
    <t xml:space="preserve">Nick Ross</t>
  </si>
  <si>
    <t xml:space="preserve">1991-11-11</t>
  </si>
  <si>
    <t xml:space="preserve">https://www.fotmob.com/players/181255/nick-ross</t>
  </si>
  <si>
    <t xml:space="preserve">Sebastian Lletget</t>
  </si>
  <si>
    <t xml:space="preserve">CAM,ST,LW</t>
  </si>
  <si>
    <t xml:space="preserve">1992-09-03</t>
  </si>
  <si>
    <t xml:space="preserve">https://www.fotmob.com/players/411629/sebastian-lletget</t>
  </si>
  <si>
    <t xml:space="preserve">Belmar Joseph</t>
  </si>
  <si>
    <t xml:space="preserve">2005-10-13</t>
  </si>
  <si>
    <t xml:space="preserve">https://www.fotmob.com/players/1650450/belmar-joseph</t>
  </si>
  <si>
    <t xml:space="preserve">Eduardo Blancas</t>
  </si>
  <si>
    <t xml:space="preserve">2001-11-14</t>
  </si>
  <si>
    <t xml:space="preserve">https://www.fotmob.com/players/1348326/eduardo-blancas</t>
  </si>
  <si>
    <t xml:space="preserve">Jacob Montes</t>
  </si>
  <si>
    <t xml:space="preserve">CAM,CM,ST,CDM,LW</t>
  </si>
  <si>
    <t xml:space="preserve">1998-10-20</t>
  </si>
  <si>
    <t xml:space="preserve">https://www.fotmob.com/players/1283365/jacob-montes</t>
  </si>
  <si>
    <t xml:space="preserve">Facundo Canete</t>
  </si>
  <si>
    <t xml:space="preserve">2000-02-22</t>
  </si>
  <si>
    <t xml:space="preserve">https://www.fotmob.com/players/1350176/facundo-canete</t>
  </si>
  <si>
    <t xml:space="preserve">Judson</t>
  </si>
  <si>
    <t xml:space="preserve">1993-05-25</t>
  </si>
  <si>
    <t xml:space="preserve">https://www.fotmob.com/players/575317/judson</t>
  </si>
  <si>
    <t xml:space="preserve">Ballack Villasana</t>
  </si>
  <si>
    <t xml:space="preserve">2007-01-04</t>
  </si>
  <si>
    <t xml:space="preserve">https://www.fotmob.com/players/1921664/ballack-villasana</t>
  </si>
  <si>
    <t xml:space="preserve">Julian Pakbaz</t>
  </si>
  <si>
    <t xml:space="preserve">2010-09-14</t>
  </si>
  <si>
    <t xml:space="preserve">https://www.fotmob.com/players/2303352/julian-pakbaz</t>
  </si>
  <si>
    <t xml:space="preserve">Ilijah Paul</t>
  </si>
  <si>
    <t xml:space="preserve">ST,LW,CAM</t>
  </si>
  <si>
    <t xml:space="preserve">2002-07-26</t>
  </si>
  <si>
    <t xml:space="preserve">https://www.fotmob.com/players/1082953/ilijah-paul</t>
  </si>
  <si>
    <t xml:space="preserve">Omari Glasgow</t>
  </si>
  <si>
    <t xml:space="preserve">LB,LW,RW,RM</t>
  </si>
  <si>
    <t xml:space="preserve">2003-11-22</t>
  </si>
  <si>
    <t xml:space="preserve">https://www.fotmob.com/players/1240376/omari-glasgow</t>
  </si>
  <si>
    <t xml:space="preserve">Wesley Leggett</t>
  </si>
  <si>
    <t xml:space="preserve">RW,RM,ST</t>
  </si>
  <si>
    <t xml:space="preserve">2001-03-16</t>
  </si>
  <si>
    <t xml:space="preserve">https://www.fotmob.com/players/1447989/wesley-leggett</t>
  </si>
  <si>
    <t xml:space="preserve">Fidel Barajas</t>
  </si>
  <si>
    <t xml:space="preserve">2006-04-05</t>
  </si>
  <si>
    <t xml:space="preserve">https://www.fotmob.com/players/1406105/fidel-barajas</t>
  </si>
  <si>
    <t xml:space="preserve">Diego Otoya</t>
  </si>
  <si>
    <t xml:space="preserve">2004-09-13</t>
  </si>
  <si>
    <t xml:space="preserve">https://www.fotmob.com/players/1364473/diego-otoya</t>
  </si>
  <si>
    <t xml:space="preserve">Adrian Rebollar</t>
  </si>
  <si>
    <t xml:space="preserve">1999-11-12</t>
  </si>
  <si>
    <t xml:space="preserve">https://www.fotmob.com/players/1344758/adrian-rebollar</t>
  </si>
  <si>
    <t xml:space="preserve">Kristopher Shakes</t>
  </si>
  <si>
    <t xml:space="preserve">New Mexico United</t>
  </si>
  <si>
    <t xml:space="preserve">2001-04-27</t>
  </si>
  <si>
    <t xml:space="preserve">https://www.fotmob.com/players/1168844/kristopher-shakes</t>
  </si>
  <si>
    <t xml:space="preserve">Raiko Arozarena</t>
  </si>
  <si>
    <t xml:space="preserve">1997-03-27</t>
  </si>
  <si>
    <t xml:space="preserve">https://www.fotmob.com/players/1252101/raiko-arozarena</t>
  </si>
  <si>
    <t xml:space="preserve">Andrew Pannenberg</t>
  </si>
  <si>
    <t xml:space="preserve">1998-09-21</t>
  </si>
  <si>
    <t xml:space="preserve">https://www.fotmob.com/players/1252224/andrew-pannenberg</t>
  </si>
  <si>
    <t xml:space="preserve">Edwin Ortiz</t>
  </si>
  <si>
    <t xml:space="preserve">https://www.fotmob.com/players/2119828/edwin-ortiz</t>
  </si>
  <si>
    <t xml:space="preserve">Niko Hämäläinen</t>
  </si>
  <si>
    <t xml:space="preserve">CB,LB,RB</t>
  </si>
  <si>
    <t xml:space="preserve">1997-03-05</t>
  </si>
  <si>
    <t xml:space="preserve">Finland</t>
  </si>
  <si>
    <t xml:space="preserve">https://www.fotmob.com/players/662981/niko-hamalainen</t>
  </si>
  <si>
    <t xml:space="preserve">Christopher Gloster</t>
  </si>
  <si>
    <t xml:space="preserve">2000-07-28</t>
  </si>
  <si>
    <t xml:space="preserve">https://www.fotmob.com/players/1054030/christopher-gloster</t>
  </si>
  <si>
    <t xml:space="preserve">Kipp Keller</t>
  </si>
  <si>
    <t xml:space="preserve">2000-07-14</t>
  </si>
  <si>
    <t xml:space="preserve">https://www.fotmob.com/players/1339430/kipp-keller</t>
  </si>
  <si>
    <t xml:space="preserve">Jake LaCava</t>
  </si>
  <si>
    <t xml:space="preserve">2001-01-12</t>
  </si>
  <si>
    <t xml:space="preserve">https://www.fotmob.com/players/1171307/jake-lacava</t>
  </si>
  <si>
    <t xml:space="preserve">Maliek Howell</t>
  </si>
  <si>
    <t xml:space="preserve">https://www.fotmob.com/players/1420380/maliek-howell</t>
  </si>
  <si>
    <t xml:space="preserve">Tyler Blackett</t>
  </si>
  <si>
    <t xml:space="preserve">1994-04-02</t>
  </si>
  <si>
    <t xml:space="preserve">https://www.fotmob.com/players/501040/tyler-blackett</t>
  </si>
  <si>
    <t xml:space="preserve">Ousman Jabang</t>
  </si>
  <si>
    <t xml:space="preserve">CDM,CM,RB,CAM</t>
  </si>
  <si>
    <t xml:space="preserve">2001-03-24</t>
  </si>
  <si>
    <t xml:space="preserve">https://www.fotmob.com/players/1460330/ousman-jabang</t>
  </si>
  <si>
    <t xml:space="preserve">Zico Bailey</t>
  </si>
  <si>
    <t xml:space="preserve">2000-08-27</t>
  </si>
  <si>
    <t xml:space="preserve">Philippines</t>
  </si>
  <si>
    <t xml:space="preserve">https://www.fotmob.com/players/1075639/zico-bailey</t>
  </si>
  <si>
    <t xml:space="preserve">Valentin Noël</t>
  </si>
  <si>
    <t xml:space="preserve">CAM,ST,CDM</t>
  </si>
  <si>
    <t xml:space="preserve">1999-04-27</t>
  </si>
  <si>
    <t xml:space="preserve">https://www.fotmob.com/players/959425/valentin-noel</t>
  </si>
  <si>
    <t xml:space="preserve">Cullen Wilkerson</t>
  </si>
  <si>
    <t xml:space="preserve">2004-09-07</t>
  </si>
  <si>
    <t xml:space="preserve">https://www.fotmob.com/players/1172876/cullen-wilkerson</t>
  </si>
  <si>
    <t xml:space="preserve">Gedion Zelalem</t>
  </si>
  <si>
    <t xml:space="preserve">1997-01-26</t>
  </si>
  <si>
    <t xml:space="preserve">https://www.fotmob.com/players/481387/gedion-zelalem</t>
  </si>
  <si>
    <t xml:space="preserve">Sofiane Djeffal</t>
  </si>
  <si>
    <t xml:space="preserve">1999-04-19</t>
  </si>
  <si>
    <t xml:space="preserve">https://www.fotmob.com/players/1339365/sofiane-djeffal</t>
  </si>
  <si>
    <t xml:space="preserve">Marlon Vargas</t>
  </si>
  <si>
    <t xml:space="preserve">https://www.fotmob.com/players/1082057/marlon-vargas</t>
  </si>
  <si>
    <t xml:space="preserve">Winston Starr</t>
  </si>
  <si>
    <t xml:space="preserve">2008-05-07</t>
  </si>
  <si>
    <t xml:space="preserve">https://www.fotmob.com/players/2181028/winston-starr</t>
  </si>
  <si>
    <t xml:space="preserve">Greg Hurst</t>
  </si>
  <si>
    <t xml:space="preserve">ST,CAM,CM</t>
  </si>
  <si>
    <t xml:space="preserve">1997-04-08</t>
  </si>
  <si>
    <t xml:space="preserve">https://www.fotmob.com/players/632285/greg-hurst</t>
  </si>
  <si>
    <t xml:space="preserve">Niall Reid-Stephen</t>
  </si>
  <si>
    <t xml:space="preserve">RW,LW,CAM</t>
  </si>
  <si>
    <t xml:space="preserve">2001-09-08</t>
  </si>
  <si>
    <t xml:space="preserve">Barbados</t>
  </si>
  <si>
    <t xml:space="preserve">https://www.fotmob.com/players/1240864/niall-reid-stephen</t>
  </si>
  <si>
    <t xml:space="preserve">Dayonn Harris</t>
  </si>
  <si>
    <t xml:space="preserve">1997-08-29</t>
  </si>
  <si>
    <t xml:space="preserve">https://www.fotmob.com/players/1172427/dayonn-harris</t>
  </si>
  <si>
    <t xml:space="preserve">Charlie Dennis</t>
  </si>
  <si>
    <t xml:space="preserve">RW,CAM,LW</t>
  </si>
  <si>
    <t xml:space="preserve">1995-09-28</t>
  </si>
  <si>
    <t xml:space="preserve">https://www.fotmob.com/players/1057932/charlie-dennis</t>
  </si>
  <si>
    <t xml:space="preserve">Cristian Nava</t>
  </si>
  <si>
    <t xml:space="preserve">2003-09-02</t>
  </si>
  <si>
    <t xml:space="preserve">https://www.fotmob.com/players/1272104/cristian-nava</t>
  </si>
  <si>
    <t xml:space="preserve">Luther Archimède</t>
  </si>
  <si>
    <t xml:space="preserve">Guadeloupe</t>
  </si>
  <si>
    <t xml:space="preserve">https://www.fotmob.com/players/1005796/luther-archimede</t>
  </si>
  <si>
    <t xml:space="preserve">Justin Rennicks</t>
  </si>
  <si>
    <t xml:space="preserve">1999-03-20</t>
  </si>
  <si>
    <t xml:space="preserve">https://www.fotmob.com/players/1026140/justin-rennicks</t>
  </si>
  <si>
    <t xml:space="preserve">Joseph Quiah</t>
  </si>
  <si>
    <t xml:space="preserve">2004-10-29</t>
  </si>
  <si>
    <t xml:space="preserve">https://www.fotmob.com/players/1780460/joseph-quiah</t>
  </si>
  <si>
    <t xml:space="preserve">Kendall McIntosh</t>
  </si>
  <si>
    <t xml:space="preserve">Oakland Roots SC</t>
  </si>
  <si>
    <t xml:space="preserve">1994-01-24</t>
  </si>
  <si>
    <t xml:space="preserve">https://www.fotmob.com/players/533126/kendall-mcintosh</t>
  </si>
  <si>
    <t xml:space="preserve">Raphael Spiegel</t>
  </si>
  <si>
    <t xml:space="preserve">1992-12-19</t>
  </si>
  <si>
    <t xml:space="preserve">Switzerland</t>
  </si>
  <si>
    <t xml:space="preserve">https://www.fotmob.com/players/198033/raphael-spiegel</t>
  </si>
  <si>
    <t xml:space="preserve">Julian Escobar</t>
  </si>
  <si>
    <t xml:space="preserve">2002-11-14</t>
  </si>
  <si>
    <t xml:space="preserve">https://www.fotmob.com/players/2221958/julian-escobar</t>
  </si>
  <si>
    <t xml:space="preserve">Devon Taylor</t>
  </si>
  <si>
    <t xml:space="preserve">2008-12-27</t>
  </si>
  <si>
    <t xml:space="preserve">https://www.fotmob.com/players/2141086/devon-taylor</t>
  </si>
  <si>
    <t xml:space="preserve">Michael Edwards</t>
  </si>
  <si>
    <t xml:space="preserve">2000-11-27</t>
  </si>
  <si>
    <t xml:space="preserve">https://www.fotmob.com/players/1252225/michael-edwards</t>
  </si>
  <si>
    <t xml:space="preserve">Jesús de Vicente</t>
  </si>
  <si>
    <t xml:space="preserve">2000-12-23</t>
  </si>
  <si>
    <t xml:space="preserve">https://www.fotmob.com/players/1919772/jesus-de-vicente</t>
  </si>
  <si>
    <t xml:space="preserve">Neveal Hackshaw</t>
  </si>
  <si>
    <t xml:space="preserve">1995-09-21</t>
  </si>
  <si>
    <t xml:space="preserve">https://www.fotmob.com/players/675103/neveal-hackshaw</t>
  </si>
  <si>
    <t xml:space="preserve">Julian Bravo</t>
  </si>
  <si>
    <t xml:space="preserve">https://www.fotmob.com/players/1366626/julian-bravo</t>
  </si>
  <si>
    <t xml:space="preserve">David García</t>
  </si>
  <si>
    <t xml:space="preserve">2000-08-23</t>
  </si>
  <si>
    <t xml:space="preserve">https://www.fotmob.com/players/1520643/david-garcia</t>
  </si>
  <si>
    <t xml:space="preserve">Keegan Tingey</t>
  </si>
  <si>
    <t xml:space="preserve">2000-08-17</t>
  </si>
  <si>
    <t xml:space="preserve">https://www.fotmob.com/players/1439996/keegan-tingey</t>
  </si>
  <si>
    <t xml:space="preserve">Mark Fisher</t>
  </si>
  <si>
    <t xml:space="preserve">RB,CDM</t>
  </si>
  <si>
    <t xml:space="preserve">2000-12-14</t>
  </si>
  <si>
    <t xml:space="preserve">https://www.fotmob.com/players/1675563/mark-fisher</t>
  </si>
  <si>
    <t xml:space="preserve">Emilio Sorrosa</t>
  </si>
  <si>
    <t xml:space="preserve">2006-03-06</t>
  </si>
  <si>
    <t xml:space="preserve">https://www.fotmob.com/players/1928454/emilio-sorrosa</t>
  </si>
  <si>
    <t xml:space="preserve">Jonathan Polio</t>
  </si>
  <si>
    <t xml:space="preserve">https://www.fotmob.com/players/1919767/jonathan-polio</t>
  </si>
  <si>
    <t xml:space="preserve">Emiliano Arana</t>
  </si>
  <si>
    <t xml:space="preserve">2008-10-11</t>
  </si>
  <si>
    <t xml:space="preserve">https://www.fotmob.com/players/2303358/emiliano-arana</t>
  </si>
  <si>
    <t xml:space="preserve">Tommy McCabe</t>
  </si>
  <si>
    <t xml:space="preserve">https://www.fotmob.com/players/741993/tommy-mccabe</t>
  </si>
  <si>
    <t xml:space="preserve">Bobosi Byaruhanga</t>
  </si>
  <si>
    <t xml:space="preserve">2001-12-03</t>
  </si>
  <si>
    <t xml:space="preserve">https://www.fotmob.com/players/1242220/bobosi-byaruhanga</t>
  </si>
  <si>
    <t xml:space="preserve">Florian Valot</t>
  </si>
  <si>
    <t xml:space="preserve">CAM,ST,LM,RW,CM</t>
  </si>
  <si>
    <t xml:space="preserve">1993-02-12</t>
  </si>
  <si>
    <t xml:space="preserve">https://www.fotmob.com/players/768896/florian-valot</t>
  </si>
  <si>
    <t xml:space="preserve">Bertin Jacquesson</t>
  </si>
  <si>
    <t xml:space="preserve">RM,ST</t>
  </si>
  <si>
    <t xml:space="preserve">2001-01-20</t>
  </si>
  <si>
    <t xml:space="preserve">https://www.fotmob.com/players/1440011/bertin-jacquesson</t>
  </si>
  <si>
    <t xml:space="preserve">Bruno Lapa</t>
  </si>
  <si>
    <t xml:space="preserve">CAM,CM,LW,RW,LM,ST</t>
  </si>
  <si>
    <t xml:space="preserve">1997-05-10</t>
  </si>
  <si>
    <t xml:space="preserve">https://www.fotmob.com/players/1168320/bruno-lapa</t>
  </si>
  <si>
    <t xml:space="preserve">Tyler Gibson</t>
  </si>
  <si>
    <t xml:space="preserve">RB,CM,CDM,CB</t>
  </si>
  <si>
    <t xml:space="preserve">1991-01-12</t>
  </si>
  <si>
    <t xml:space="preserve">https://www.fotmob.com/players/756396/tyler-gibson</t>
  </si>
  <si>
    <t xml:space="preserve">Tucker Lepley</t>
  </si>
  <si>
    <t xml:space="preserve">RM,CDM,RW</t>
  </si>
  <si>
    <t xml:space="preserve">2002-01-17</t>
  </si>
  <si>
    <t xml:space="preserve">https://www.fotmob.com/players/1083234/tucker-lepley</t>
  </si>
  <si>
    <t xml:space="preserve">Etienne Lopez</t>
  </si>
  <si>
    <t xml:space="preserve">https://www.fotmob.com/players/2101228/etienne-lopez</t>
  </si>
  <si>
    <t xml:space="preserve">Gavin Stone</t>
  </si>
  <si>
    <t xml:space="preserve">2009-03-27</t>
  </si>
  <si>
    <t xml:space="preserve">https://www.fotmob.com/players/2140684/gavin-stone</t>
  </si>
  <si>
    <t xml:space="preserve">Charlie Wachs</t>
  </si>
  <si>
    <t xml:space="preserve">2010-02-09</t>
  </si>
  <si>
    <t xml:space="preserve">https://www.fotmob.com/players/2009300/charlie-wachs</t>
  </si>
  <si>
    <t xml:space="preserve">Luka Rosic</t>
  </si>
  <si>
    <t xml:space="preserve">https://www.fotmob.com/players/1928453/luka-rosic</t>
  </si>
  <si>
    <t xml:space="preserve">Wolfgang Prentice</t>
  </si>
  <si>
    <t xml:space="preserve">LW,LM,ST,RW</t>
  </si>
  <si>
    <t xml:space="preserve">https://www.fotmob.com/players/1285619/wolfgang-prentice</t>
  </si>
  <si>
    <t xml:space="preserve">Peter Wilson</t>
  </si>
  <si>
    <t xml:space="preserve">1996-10-09</t>
  </si>
  <si>
    <t xml:space="preserve">https://www.fotmob.com/players/627857/peter-wilson</t>
  </si>
  <si>
    <t xml:space="preserve">Faysal Bettache</t>
  </si>
  <si>
    <t xml:space="preserve">2000-07-07</t>
  </si>
  <si>
    <t xml:space="preserve">https://www.fotmob.com/players/959244/faysal-bettache</t>
  </si>
  <si>
    <t xml:space="preserve">Danny Trejo</t>
  </si>
  <si>
    <t xml:space="preserve">ST,RW,LM</t>
  </si>
  <si>
    <t xml:space="preserve">1998-04-29</t>
  </si>
  <si>
    <t xml:space="preserve">https://www.fotmob.com/players/1179783/danny-trejo</t>
  </si>
  <si>
    <t xml:space="preserve">Jackson Kiil</t>
  </si>
  <si>
    <t xml:space="preserve">2003-03-07</t>
  </si>
  <si>
    <t xml:space="preserve">https://www.fotmob.com/players/1921667/jackson-kiil</t>
  </si>
  <si>
    <t xml:space="preserve">Alex Rando</t>
  </si>
  <si>
    <t xml:space="preserve">Orange County SC</t>
  </si>
  <si>
    <t xml:space="preserve">2001-04-15</t>
  </si>
  <si>
    <t xml:space="preserve">https://www.fotmob.com/players/1257972/alex-rando</t>
  </si>
  <si>
    <t xml:space="preserve">Tetsuya Kadono</t>
  </si>
  <si>
    <t xml:space="preserve">2000-10-20</t>
  </si>
  <si>
    <t xml:space="preserve">https://www.fotmob.com/players/1645554/tetsuya-kadono</t>
  </si>
  <si>
    <t xml:space="preserve">Jack Gentile</t>
  </si>
  <si>
    <t xml:space="preserve">2008-04-16</t>
  </si>
  <si>
    <t xml:space="preserve">https://www.fotmob.com/players/2119830/jack-gentile</t>
  </si>
  <si>
    <t xml:space="preserve">Tom Brewitt</t>
  </si>
  <si>
    <t xml:space="preserve">1997-02-11</t>
  </si>
  <si>
    <t xml:space="preserve">https://www.fotmob.com/players/858006/tom-brewitt</t>
  </si>
  <si>
    <t xml:space="preserve">Nico Benalcázar</t>
  </si>
  <si>
    <t xml:space="preserve">CB,LB,CM,CDM,RB</t>
  </si>
  <si>
    <t xml:space="preserve">2001-06-06</t>
  </si>
  <si>
    <t xml:space="preserve">https://www.fotmob.com/players/1338699/nico-benalcazar</t>
  </si>
  <si>
    <t xml:space="preserve">Garrison Tubbs</t>
  </si>
  <si>
    <t xml:space="preserve">2002-02-17</t>
  </si>
  <si>
    <t xml:space="preserve">https://www.fotmob.com/players/1170742/garrison-tubbs</t>
  </si>
  <si>
    <t xml:space="preserve">Ryan Doghman</t>
  </si>
  <si>
    <t xml:space="preserve">1997-06-14</t>
  </si>
  <si>
    <t xml:space="preserve">https://www.fotmob.com/players/739732/ryan-doghman</t>
  </si>
  <si>
    <t xml:space="preserve">Mouhamadou War</t>
  </si>
  <si>
    <t xml:space="preserve">2000-04-04</t>
  </si>
  <si>
    <t xml:space="preserve">https://www.fotmob.com/players/1503398/mouhamadou-war</t>
  </si>
  <si>
    <t xml:space="preserve">Tyson Espy</t>
  </si>
  <si>
    <t xml:space="preserve">2009-04-03</t>
  </si>
  <si>
    <t xml:space="preserve">https://www.fotmob.com/players/1781044/tyson-espy</t>
  </si>
  <si>
    <t xml:space="preserve">Jaylin Lindsey</t>
  </si>
  <si>
    <t xml:space="preserve">2000-03-27</t>
  </si>
  <si>
    <t xml:space="preserve">https://www.fotmob.com/players/924434/jaylin-lindsey</t>
  </si>
  <si>
    <t xml:space="preserve">Nicola Ciotta</t>
  </si>
  <si>
    <t xml:space="preserve">2006-07-21</t>
  </si>
  <si>
    <t xml:space="preserve">https://www.fotmob.com/players/1769553/nicola-ciotta</t>
  </si>
  <si>
    <t xml:space="preserve">Grayson Doody</t>
  </si>
  <si>
    <t xml:space="preserve">2002-03-20</t>
  </si>
  <si>
    <t xml:space="preserve">https://www.fotmob.com/players/1642676/grayson-doody</t>
  </si>
  <si>
    <t xml:space="preserve">Finn O'Brien</t>
  </si>
  <si>
    <t xml:space="preserve">2008-10-16</t>
  </si>
  <si>
    <t xml:space="preserve">https://www.fotmob.com/players/2042058/finn-o-brien</t>
  </si>
  <si>
    <t xml:space="preserve">Stephen Kelly</t>
  </si>
  <si>
    <t xml:space="preserve">2000-04-13</t>
  </si>
  <si>
    <t xml:space="preserve">https://www.fotmob.com/players/955005/stephen-kelly</t>
  </si>
  <si>
    <t xml:space="preserve">Christopher Hegardt</t>
  </si>
  <si>
    <t xml:space="preserve">LM,LW</t>
  </si>
  <si>
    <t xml:space="preserve">2002-01-06</t>
  </si>
  <si>
    <t xml:space="preserve">https://www.fotmob.com/players/1138504/christopher-hegardt</t>
  </si>
  <si>
    <t xml:space="preserve">Ousmane Sylla</t>
  </si>
  <si>
    <t xml:space="preserve">CAM,ST,CM</t>
  </si>
  <si>
    <t xml:space="preserve">2001-08-07</t>
  </si>
  <si>
    <t xml:space="preserve">https://www.fotmob.com/players/1614618/ousmane-sylla</t>
  </si>
  <si>
    <t xml:space="preserve">Efren Solis</t>
  </si>
  <si>
    <t xml:space="preserve">2008-05-13</t>
  </si>
  <si>
    <t xml:space="preserve">https://www.fotmob.com/players/1804503/efren-solis</t>
  </si>
  <si>
    <t xml:space="preserve">Marcelo Palomino</t>
  </si>
  <si>
    <t xml:space="preserve">ST,CM,RM</t>
  </si>
  <si>
    <t xml:space="preserve">2001-05-21</t>
  </si>
  <si>
    <t xml:space="preserve">https://www.fotmob.com/players/1136257/marcelo-palomino</t>
  </si>
  <si>
    <t xml:space="preserve">Kevin Partida</t>
  </si>
  <si>
    <t xml:space="preserve">1995-03-10</t>
  </si>
  <si>
    <t xml:space="preserve">https://www.fotmob.com/players/937937/kevin-partida</t>
  </si>
  <si>
    <t xml:space="preserve">Paul Ngoie</t>
  </si>
  <si>
    <t xml:space="preserve">2007-04-16</t>
  </si>
  <si>
    <t xml:space="preserve">https://www.fotmob.com/players/2221959/paul-ngoie</t>
  </si>
  <si>
    <t xml:space="preserve">Lyam MacKinnon</t>
  </si>
  <si>
    <t xml:space="preserve">ST,RW,RM</t>
  </si>
  <si>
    <t xml:space="preserve">1999-09-25</t>
  </si>
  <si>
    <t xml:space="preserve">https://www.fotmob.com/players/1472288/lyam-mackinnon</t>
  </si>
  <si>
    <t xml:space="preserve">Yaniv Bazini</t>
  </si>
  <si>
    <t xml:space="preserve">ST,CAM,RW</t>
  </si>
  <si>
    <t xml:space="preserve">1999-07-16</t>
  </si>
  <si>
    <t xml:space="preserve">Israel</t>
  </si>
  <si>
    <t xml:space="preserve">https://www.fotmob.com/players/1634983/yaniv-bazini</t>
  </si>
  <si>
    <t xml:space="preserve">Ethan Zubak</t>
  </si>
  <si>
    <t xml:space="preserve">1998-04-15</t>
  </si>
  <si>
    <t xml:space="preserve">https://www.fotmob.com/players/738060/ethan-zubak</t>
  </si>
  <si>
    <t xml:space="preserve">Jamir Johnson</t>
  </si>
  <si>
    <t xml:space="preserve">2008-07-07</t>
  </si>
  <si>
    <t xml:space="preserve">https://www.fotmob.com/players/1756472/jamir-johnson</t>
  </si>
  <si>
    <t xml:space="preserve">Brandon Cambridge</t>
  </si>
  <si>
    <t xml:space="preserve">2002-02-09</t>
  </si>
  <si>
    <t xml:space="preserve">https://www.fotmob.com/players/1439802/brandon-cambridge</t>
  </si>
  <si>
    <t xml:space="preserve">Mataeo Bunbury</t>
  </si>
  <si>
    <t xml:space="preserve">2005-06-13</t>
  </si>
  <si>
    <t xml:space="preserve">https://www.fotmob.com/players/1299720/mataeo-bunbury</t>
  </si>
  <si>
    <t xml:space="preserve">Apolo Marinch</t>
  </si>
  <si>
    <t xml:space="preserve">2010-04-28</t>
  </si>
  <si>
    <t xml:space="preserve">https://www.fotmob.com/players/1780592/apolo-marinch</t>
  </si>
  <si>
    <t xml:space="preserve">Sydney Wathuta</t>
  </si>
  <si>
    <t xml:space="preserve">ST,CM,CAM,LM</t>
  </si>
  <si>
    <t xml:space="preserve">2004-06-11</t>
  </si>
  <si>
    <t xml:space="preserve">https://www.fotmob.com/players/1760451/sydney-wathuta</t>
  </si>
  <si>
    <t xml:space="preserve">Jerome Carter</t>
  </si>
  <si>
    <t xml:space="preserve">2008-10-01</t>
  </si>
  <si>
    <t xml:space="preserve">https://www.fotmob.com/players/2068688/jerome-carter</t>
  </si>
  <si>
    <t xml:space="preserve">Joaquin Castro</t>
  </si>
  <si>
    <t xml:space="preserve">https://www.fotmob.com/players/2068689/joaquin-castro</t>
  </si>
  <si>
    <t xml:space="preserve">Elijah Nelson</t>
  </si>
  <si>
    <t xml:space="preserve">https://www.fotmob.com/players/2140685/elijah-nelson</t>
  </si>
  <si>
    <t xml:space="preserve">Patrick Rakovsky</t>
  </si>
  <si>
    <t xml:space="preserve">Phoenix Rising FC</t>
  </si>
  <si>
    <t xml:space="preserve">1993-06-02</t>
  </si>
  <si>
    <t xml:space="preserve">https://www.fotmob.com/players/278865/patrick-rakovsky</t>
  </si>
  <si>
    <t xml:space="preserve">Chituru Odunze</t>
  </si>
  <si>
    <t xml:space="preserve">2002-10-14</t>
  </si>
  <si>
    <t xml:space="preserve">https://www.fotmob.com/players/1205694/chituru-odunze</t>
  </si>
  <si>
    <t xml:space="preserve">Tristan Shaw</t>
  </si>
  <si>
    <t xml:space="preserve">2008-05-31</t>
  </si>
  <si>
    <t xml:space="preserve">https://www.fotmob.com/players/1793926/tristan-shaw</t>
  </si>
  <si>
    <t xml:space="preserve">Collin Smith</t>
  </si>
  <si>
    <t xml:space="preserve">RB,RM,RW</t>
  </si>
  <si>
    <t xml:space="preserve">2003-12-04</t>
  </si>
  <si>
    <t xml:space="preserve">https://www.fotmob.com/players/1188662/collin-smith</t>
  </si>
  <si>
    <t xml:space="preserve">Luke Biasi</t>
  </si>
  <si>
    <t xml:space="preserve">LB,RB,RWB,CB</t>
  </si>
  <si>
    <t xml:space="preserve">1999-07-15</t>
  </si>
  <si>
    <t xml:space="preserve">https://www.fotmob.com/players/1341109/luke-biasi</t>
  </si>
  <si>
    <t xml:space="preserve">Pape Boye</t>
  </si>
  <si>
    <t xml:space="preserve">2003-12-30</t>
  </si>
  <si>
    <t xml:space="preserve">https://www.fotmob.com/players/1611497/pape-boye</t>
  </si>
  <si>
    <t xml:space="preserve">Daniel Flores</t>
  </si>
  <si>
    <t xml:space="preserve">2003-05-11</t>
  </si>
  <si>
    <t xml:space="preserve">https://www.fotmob.com/players/1190668/daniel-flores</t>
  </si>
  <si>
    <t xml:space="preserve">Ascel Essengue</t>
  </si>
  <si>
    <t xml:space="preserve">CB,RM,RWB</t>
  </si>
  <si>
    <t xml:space="preserve">2003-04-30</t>
  </si>
  <si>
    <t xml:space="preserve">https://www.fotmob.com/players/1276594/ascel-essengue</t>
  </si>
  <si>
    <t xml:space="preserve">Adrián Pelayo</t>
  </si>
  <si>
    <t xml:space="preserve">2006-05-16</t>
  </si>
  <si>
    <t xml:space="preserve">https://www.fotmob.com/players/1611869/adrian-pelayo</t>
  </si>
  <si>
    <t xml:space="preserve">Rafael Czichos</t>
  </si>
  <si>
    <t xml:space="preserve">1990-05-14</t>
  </si>
  <si>
    <t xml:space="preserve">https://www.fotmob.com/players/335412/rafael-czichos</t>
  </si>
  <si>
    <t xml:space="preserve">Tate Schmitt</t>
  </si>
  <si>
    <t xml:space="preserve">1997-05-28</t>
  </si>
  <si>
    <t xml:space="preserve">https://www.fotmob.com/players/1025951/tate-schmitt</t>
  </si>
  <si>
    <t xml:space="preserve">Eziah Ramirez</t>
  </si>
  <si>
    <t xml:space="preserve">RB,RW,RWB</t>
  </si>
  <si>
    <t xml:space="preserve">2008-02-29</t>
  </si>
  <si>
    <t xml:space="preserve">https://www.fotmob.com/players/1927872/eziah-ramirez</t>
  </si>
  <si>
    <t xml:space="preserve">Jackson Gaydon</t>
  </si>
  <si>
    <t xml:space="preserve">2008-09-08</t>
  </si>
  <si>
    <t xml:space="preserve">https://www.fotmob.com/players/1933245/jackson-gaydon</t>
  </si>
  <si>
    <t xml:space="preserve">Noah Cross</t>
  </si>
  <si>
    <t xml:space="preserve">2009-01-27</t>
  </si>
  <si>
    <t xml:space="preserve">https://www.fotmob.com/players/1975689/noah-cross</t>
  </si>
  <si>
    <t xml:space="preserve">Pierce Rizzo</t>
  </si>
  <si>
    <t xml:space="preserve">2006-12-10</t>
  </si>
  <si>
    <t xml:space="preserve">https://www.fotmob.com/players/1732593/pierce-rizzo</t>
  </si>
  <si>
    <t xml:space="preserve">John Scearce</t>
  </si>
  <si>
    <t xml:space="preserve">CB,CDM,CM,CAM,RB</t>
  </si>
  <si>
    <t xml:space="preserve">1997-12-19</t>
  </si>
  <si>
    <t xml:space="preserve">https://www.fotmob.com/players/1178826/john-scearce</t>
  </si>
  <si>
    <t xml:space="preserve">Jean Moursou</t>
  </si>
  <si>
    <t xml:space="preserve">2004-12-31</t>
  </si>
  <si>
    <t xml:space="preserve">https://www.fotmob.com/players/1583143/jean-moursou</t>
  </si>
  <si>
    <t xml:space="preserve">Diego Gómez</t>
  </si>
  <si>
    <t xml:space="preserve">CAM,CM,CDM,ST</t>
  </si>
  <si>
    <t xml:space="preserve">2003-09-10</t>
  </si>
  <si>
    <t xml:space="preserve">https://www.fotmob.com/players/1327189/diego-gomez</t>
  </si>
  <si>
    <t xml:space="preserve">Juan Torres</t>
  </si>
  <si>
    <t xml:space="preserve">CAM,RM,LW,RW</t>
  </si>
  <si>
    <t xml:space="preserve">2001-03-31</t>
  </si>
  <si>
    <t xml:space="preserve">https://www.fotmob.com/players/1433071/juan-torres</t>
  </si>
  <si>
    <t xml:space="preserve">Jaethan Irwin</t>
  </si>
  <si>
    <t xml:space="preserve">2011-01-18</t>
  </si>
  <si>
    <t xml:space="preserve">https://www.fotmob.com/players/1921660/jaethan-irwin</t>
  </si>
  <si>
    <t xml:space="preserve">Ihsan Sacko</t>
  </si>
  <si>
    <t xml:space="preserve">1997-07-19</t>
  </si>
  <si>
    <t xml:space="preserve">https://www.fotmob.com/players/756429/ihsan-sacko</t>
  </si>
  <si>
    <t xml:space="preserve">Hope Avayevu</t>
  </si>
  <si>
    <t xml:space="preserve">LW,CM,ST,CAM,LM</t>
  </si>
  <si>
    <t xml:space="preserve">2002-10-19</t>
  </si>
  <si>
    <t xml:space="preserve">https://www.fotmob.com/players/1346891/hope-avayevu</t>
  </si>
  <si>
    <t xml:space="preserve">Dominique Badji</t>
  </si>
  <si>
    <t xml:space="preserve">1992-10-16</t>
  </si>
  <si>
    <t xml:space="preserve">https://www.fotmob.com/players/621537/dominique-badji</t>
  </si>
  <si>
    <t xml:space="preserve">Gunnar Studenhofft</t>
  </si>
  <si>
    <t xml:space="preserve">2002-04-05</t>
  </si>
  <si>
    <t xml:space="preserve">Cayman Islands</t>
  </si>
  <si>
    <t xml:space="preserve">https://www.fotmob.com/players/1240740/gunnar-studenhofft</t>
  </si>
  <si>
    <t xml:space="preserve">Damián Rivera</t>
  </si>
  <si>
    <t xml:space="preserve">2002-12-08</t>
  </si>
  <si>
    <t xml:space="preserve">https://www.fotmob.com/players/1136412/damian-rivera</t>
  </si>
  <si>
    <t xml:space="preserve">Kelvin Arase</t>
  </si>
  <si>
    <t xml:space="preserve">1999-01-15</t>
  </si>
  <si>
    <t xml:space="preserve">Austria</t>
  </si>
  <si>
    <t xml:space="preserve">https://www.fotmob.com/players/794855/kelvin-arase</t>
  </si>
  <si>
    <t xml:space="preserve">Conrad Ambursley</t>
  </si>
  <si>
    <t xml:space="preserve">2007-02-07</t>
  </si>
  <si>
    <t xml:space="preserve">https://www.fotmob.com/players/2090275/conrad-ambursley</t>
  </si>
  <si>
    <t xml:space="preserve">Anthony Capetillo Hernandez</t>
  </si>
  <si>
    <t xml:space="preserve">2009-10-26</t>
  </si>
  <si>
    <t xml:space="preserve">https://www.fotmob.com/players/1780761/anthony-capetillo-hernandez</t>
  </si>
  <si>
    <t xml:space="preserve">Cyrus Kowall</t>
  </si>
  <si>
    <t xml:space="preserve">2009-01-28</t>
  </si>
  <si>
    <t xml:space="preserve">https://www.fotmob.com/players/1732592/cyrus-kowall</t>
  </si>
  <si>
    <t xml:space="preserve">Alexander Balanzar De la Cruz</t>
  </si>
  <si>
    <t xml:space="preserve">2008-11-08</t>
  </si>
  <si>
    <t xml:space="preserve">https://www.fotmob.com/players/1751994/alexander-balanzar-de-la-cruz</t>
  </si>
  <si>
    <t xml:space="preserve">Nico Campuzano</t>
  </si>
  <si>
    <t xml:space="preserve">Pittsburgh Riverhounds SC</t>
  </si>
  <si>
    <t xml:space="preserve">1998-01-29</t>
  </si>
  <si>
    <t xml:space="preserve">https://www.fotmob.com/players/1348321/nico-campuzano</t>
  </si>
  <si>
    <t xml:space="preserve">Mike Sheridan</t>
  </si>
  <si>
    <t xml:space="preserve">2001-08-24</t>
  </si>
  <si>
    <t xml:space="preserve">https://www.fotmob.com/players/1780451/mike-sheridan</t>
  </si>
  <si>
    <t xml:space="preserve">Mitchell Budler</t>
  </si>
  <si>
    <t xml:space="preserve">2003-01-03</t>
  </si>
  <si>
    <t xml:space="preserve">https://www.fotmob.com/players/1171004/mitchell-budler</t>
  </si>
  <si>
    <t xml:space="preserve">Victor Souza</t>
  </si>
  <si>
    <t xml:space="preserve">2001-04-06</t>
  </si>
  <si>
    <t xml:space="preserve">https://www.fotmob.com/players/1500406/victor-souza</t>
  </si>
  <si>
    <t xml:space="preserve">Owen Mikoy</t>
  </si>
  <si>
    <t xml:space="preserve">2001-11-11</t>
  </si>
  <si>
    <t xml:space="preserve">https://www.fotmob.com/players/1919812/owen-mikoy</t>
  </si>
  <si>
    <t xml:space="preserve">Perrin Barnes</t>
  </si>
  <si>
    <t xml:space="preserve">2001-03-10</t>
  </si>
  <si>
    <t xml:space="preserve">https://www.fotmob.com/players/1724749/perrin-barnes</t>
  </si>
  <si>
    <t xml:space="preserve">Lasse Kelp</t>
  </si>
  <si>
    <t xml:space="preserve">2003-02-11</t>
  </si>
  <si>
    <t xml:space="preserve">https://www.fotmob.com/players/1919811/lasse-kelp</t>
  </si>
  <si>
    <t xml:space="preserve">Beto Ydrach</t>
  </si>
  <si>
    <t xml:space="preserve">2001-05-25</t>
  </si>
  <si>
    <t xml:space="preserve">https://www.fotmob.com/players/1649306/beto-ydrach</t>
  </si>
  <si>
    <t xml:space="preserve">Illal Osumanu</t>
  </si>
  <si>
    <t xml:space="preserve">1996-08-20</t>
  </si>
  <si>
    <t xml:space="preserve">https://www.fotmob.com/players/1460328/illal-osumanu</t>
  </si>
  <si>
    <t xml:space="preserve">Guillaume Vacter</t>
  </si>
  <si>
    <t xml:space="preserve">2000-07-13</t>
  </si>
  <si>
    <t xml:space="preserve">https://www.fotmob.com/players/1751990/guillaume-vacter</t>
  </si>
  <si>
    <t xml:space="preserve">Danny Griffin</t>
  </si>
  <si>
    <t xml:space="preserve">CDM,CM,CAM,RB</t>
  </si>
  <si>
    <t xml:space="preserve">1998-07-14</t>
  </si>
  <si>
    <t xml:space="preserve">https://www.fotmob.com/players/1169433/danny-griffin</t>
  </si>
  <si>
    <t xml:space="preserve">Robbie Mertz</t>
  </si>
  <si>
    <t xml:space="preserve">CM,CAM,RW,RM,LM</t>
  </si>
  <si>
    <t xml:space="preserve">1996-12-04</t>
  </si>
  <si>
    <t xml:space="preserve">https://www.fotmob.com/players/1060363/robbie-mertz</t>
  </si>
  <si>
    <t xml:space="preserve">Charles Ahl</t>
  </si>
  <si>
    <t xml:space="preserve">CAM,LM,RM,RW,LW</t>
  </si>
  <si>
    <t xml:space="preserve">2002-10-15</t>
  </si>
  <si>
    <t xml:space="preserve">https://www.fotmob.com/players/1724751/charles-ahl</t>
  </si>
  <si>
    <t xml:space="preserve">Sam Bassett</t>
  </si>
  <si>
    <t xml:space="preserve">ST,CM,CAM,CDM,LM</t>
  </si>
  <si>
    <t xml:space="preserve">2003-04-13</t>
  </si>
  <si>
    <t xml:space="preserve">https://www.fotmob.com/players/1710552/sam-bassett</t>
  </si>
  <si>
    <t xml:space="preserve">Jackson Wälti</t>
  </si>
  <si>
    <t xml:space="preserve">1999-12-07</t>
  </si>
  <si>
    <t xml:space="preserve">https://www.fotmob.com/players/1502991/jackson-walti</t>
  </si>
  <si>
    <t xml:space="preserve">Eliot Goldthorp</t>
  </si>
  <si>
    <t xml:space="preserve">RM,LW,RW,LM</t>
  </si>
  <si>
    <t xml:space="preserve">2001-11-03</t>
  </si>
  <si>
    <t xml:space="preserve">https://www.fotmob.com/players/962320/eliot-goldthorp</t>
  </si>
  <si>
    <t xml:space="preserve">Max Viera</t>
  </si>
  <si>
    <t xml:space="preserve">RB,RWB,LWB,LM,ST,RM</t>
  </si>
  <si>
    <t xml:space="preserve">https://www.fotmob.com/players/1919814/max-viera</t>
  </si>
  <si>
    <t xml:space="preserve">Junior Etou</t>
  </si>
  <si>
    <t xml:space="preserve">LWB,LM,LB</t>
  </si>
  <si>
    <t xml:space="preserve">1994-06-01</t>
  </si>
  <si>
    <t xml:space="preserve">Congo</t>
  </si>
  <si>
    <t xml:space="preserve">https://www.fotmob.com/players/820312/junior-etou</t>
  </si>
  <si>
    <t xml:space="preserve">Bradley Sample</t>
  </si>
  <si>
    <t xml:space="preserve">2000-11-12</t>
  </si>
  <si>
    <t xml:space="preserve">https://www.fotmob.com/players/1615769/bradley-sample</t>
  </si>
  <si>
    <t xml:space="preserve">Yu Tsukanome</t>
  </si>
  <si>
    <t xml:space="preserve">CAM,ST</t>
  </si>
  <si>
    <t xml:space="preserve">2000-12-21</t>
  </si>
  <si>
    <t xml:space="preserve">https://www.fotmob.com/players/1626995/yu-tsukanome</t>
  </si>
  <si>
    <t xml:space="preserve">Jorge Garcia</t>
  </si>
  <si>
    <t xml:space="preserve">2001-09-18</t>
  </si>
  <si>
    <t xml:space="preserve">https://www.fotmob.com/players/1724750/jorge-garcia</t>
  </si>
  <si>
    <t xml:space="preserve">Albert Dikwa</t>
  </si>
  <si>
    <t xml:space="preserve">https://www.fotmob.com/players/839198/albert-dikwa</t>
  </si>
  <si>
    <t xml:space="preserve">Trevor Amann</t>
  </si>
  <si>
    <t xml:space="preserve">1998-05-03</t>
  </si>
  <si>
    <t xml:space="preserve">https://www.fotmob.com/players/1367350/trevor-amann</t>
  </si>
  <si>
    <t xml:space="preserve">Aldair Flowers</t>
  </si>
  <si>
    <t xml:space="preserve">2007-08-24</t>
  </si>
  <si>
    <t xml:space="preserve">https://www.fotmob.com/players/1919816/aldair-flowers</t>
  </si>
  <si>
    <t xml:space="preserve">Koke Vegas</t>
  </si>
  <si>
    <t xml:space="preserve">Rhode Island FC</t>
  </si>
  <si>
    <t xml:space="preserve">1995-09-27</t>
  </si>
  <si>
    <t xml:space="preserve">https://www.fotmob.com/players/785824/koke-vegas</t>
  </si>
  <si>
    <t xml:space="preserve">Jacob Castro</t>
  </si>
  <si>
    <t xml:space="preserve">1999-12-18</t>
  </si>
  <si>
    <t xml:space="preserve">https://www.fotmob.com/players/1083221/jacob-castro</t>
  </si>
  <si>
    <t xml:space="preserve">Will Meyer</t>
  </si>
  <si>
    <t xml:space="preserve">1998-05-24</t>
  </si>
  <si>
    <t xml:space="preserve">https://www.fotmob.com/players/1366199/will-meyer</t>
  </si>
  <si>
    <t xml:space="preserve">Frank Nodarse</t>
  </si>
  <si>
    <t xml:space="preserve">CB,RB,LB,RM</t>
  </si>
  <si>
    <t xml:space="preserve">2000-12-06</t>
  </si>
  <si>
    <t xml:space="preserve">https://www.fotmob.com/players/1287564/frank-nodarse</t>
  </si>
  <si>
    <t xml:space="preserve">Grant Stoneman</t>
  </si>
  <si>
    <t xml:space="preserve">CB,CDM</t>
  </si>
  <si>
    <t xml:space="preserve">https://www.fotmob.com/players/1042584/grant-stoneman</t>
  </si>
  <si>
    <t xml:space="preserve">Nick Scardina</t>
  </si>
  <si>
    <t xml:space="preserve">2001-06-22</t>
  </si>
  <si>
    <t xml:space="preserve">https://www.fotmob.com/players/1082990/nick-scardina</t>
  </si>
  <si>
    <t xml:space="preserve">Karifa Yao</t>
  </si>
  <si>
    <t xml:space="preserve">2000-09-28</t>
  </si>
  <si>
    <t xml:space="preserve">https://www.fotmob.com/players/1058360/karifa-yao</t>
  </si>
  <si>
    <t xml:space="preserve">Aldair Sanchez</t>
  </si>
  <si>
    <t xml:space="preserve">LB,LWB,LM</t>
  </si>
  <si>
    <t xml:space="preserve">https://www.fotmob.com/players/1448501/aldair-sanchez</t>
  </si>
  <si>
    <t xml:space="preserve">Dani Rovira</t>
  </si>
  <si>
    <t xml:space="preserve">1996-12-15</t>
  </si>
  <si>
    <t xml:space="preserve">https://www.fotmob.com/players/1082967/dani-rovira</t>
  </si>
  <si>
    <t xml:space="preserve">Calvin Williams</t>
  </si>
  <si>
    <t xml:space="preserve">2004-01-29</t>
  </si>
  <si>
    <t xml:space="preserve">https://www.fotmob.com/players/1928321/calvin-williams</t>
  </si>
  <si>
    <t xml:space="preserve">Hugo Bacharach</t>
  </si>
  <si>
    <t xml:space="preserve">2001-07-27</t>
  </si>
  <si>
    <t xml:space="preserve">https://www.fotmob.com/players/1516692/hugo-bacharach</t>
  </si>
  <si>
    <t xml:space="preserve">Amos Shapiro-Thompson</t>
  </si>
  <si>
    <t xml:space="preserve">CDM,CAM,CM,RWB,RW</t>
  </si>
  <si>
    <t xml:space="preserve">2000-01-11</t>
  </si>
  <si>
    <t xml:space="preserve">https://www.fotmob.com/players/1479926/amos-shapiro-thompson</t>
  </si>
  <si>
    <t xml:space="preserve">Agustín Rodríguez</t>
  </si>
  <si>
    <t xml:space="preserve">2004-05-02</t>
  </si>
  <si>
    <t xml:space="preserve">https://www.fotmob.com/players/1257379/agustin-rodriguez</t>
  </si>
  <si>
    <t xml:space="preserve">Noah Fuson</t>
  </si>
  <si>
    <t xml:space="preserve">LW,CAM,LM,ST</t>
  </si>
  <si>
    <t xml:space="preserve">https://www.fotmob.com/players/1199737/noah-fuson</t>
  </si>
  <si>
    <t xml:space="preserve">Dwayne Atkinson</t>
  </si>
  <si>
    <t xml:space="preserve">2002-05-05</t>
  </si>
  <si>
    <t xml:space="preserve">https://www.fotmob.com/players/1348492/dwayne-atkinson</t>
  </si>
  <si>
    <t xml:space="preserve">Zach Herivaux</t>
  </si>
  <si>
    <t xml:space="preserve">https://www.fotmob.com/players/729986/zach-herivaux</t>
  </si>
  <si>
    <t xml:space="preserve">Eric Klein</t>
  </si>
  <si>
    <t xml:space="preserve">2006-11-20</t>
  </si>
  <si>
    <t xml:space="preserve">https://www.fotmob.com/players/1647608/eric-klein</t>
  </si>
  <si>
    <t xml:space="preserve">Kevin Vang</t>
  </si>
  <si>
    <t xml:space="preserve">2000-08-12</t>
  </si>
  <si>
    <t xml:space="preserve">https://www.fotmob.com/players/1615759/kevin-vang</t>
  </si>
  <si>
    <t xml:space="preserve">Kevin Medina</t>
  </si>
  <si>
    <t xml:space="preserve">2006-04-14</t>
  </si>
  <si>
    <t xml:space="preserve">https://www.fotmob.com/players/2263374/kevin-medina</t>
  </si>
  <si>
    <t xml:space="preserve">Jojea Kwizera</t>
  </si>
  <si>
    <t xml:space="preserve">RW,LW,LWB,LB</t>
  </si>
  <si>
    <t xml:space="preserve">1999-01-01</t>
  </si>
  <si>
    <t xml:space="preserve">https://www.fotmob.com/players/1357481/jojea-kwizera</t>
  </si>
  <si>
    <t xml:space="preserve">Leo Afonso</t>
  </si>
  <si>
    <t xml:space="preserve">LW,ST,RM</t>
  </si>
  <si>
    <t xml:space="preserve">https://www.fotmob.com/players/1600846/leo-afonso</t>
  </si>
  <si>
    <t xml:space="preserve">Yutaro Tsukada</t>
  </si>
  <si>
    <t xml:space="preserve">2001-07-28</t>
  </si>
  <si>
    <t xml:space="preserve">https://www.fotmob.com/players/1624044/yutaro-tsukada</t>
  </si>
  <si>
    <t xml:space="preserve">Stas Korzeniowski</t>
  </si>
  <si>
    <t xml:space="preserve">2003-01-30</t>
  </si>
  <si>
    <t xml:space="preserve">https://www.fotmob.com/players/1515624/stas-korzeniowski</t>
  </si>
  <si>
    <t xml:space="preserve">Osman Foyo</t>
  </si>
  <si>
    <t xml:space="preserve">2004-10-03</t>
  </si>
  <si>
    <t xml:space="preserve">https://www.fotmob.com/players/1292844/osman-foyo</t>
  </si>
  <si>
    <t xml:space="preserve">Jamin Gogo Peters</t>
  </si>
  <si>
    <t xml:space="preserve">2003-11-03</t>
  </si>
  <si>
    <t xml:space="preserve">https://www.fotmob.com/players/1355804/jamin-gogo-peters</t>
  </si>
  <si>
    <t xml:space="preserve">Nikolai Pierre</t>
  </si>
  <si>
    <t xml:space="preserve">2008-04-01</t>
  </si>
  <si>
    <t xml:space="preserve">https://www.fotmob.com/players/1843221/nikolai-pierre</t>
  </si>
  <si>
    <t xml:space="preserve">Cai-Anthony McLean</t>
  </si>
  <si>
    <t xml:space="preserve">2008-06-27</t>
  </si>
  <si>
    <t xml:space="preserve">https://www.fotmob.com/players/1923039/cai-anthony-mclean</t>
  </si>
  <si>
    <t xml:space="preserve">Danny Vitiello</t>
  </si>
  <si>
    <t xml:space="preserve">Sacramento Republic FC</t>
  </si>
  <si>
    <t xml:space="preserve">1996-03-06</t>
  </si>
  <si>
    <t xml:space="preserve">https://www.fotmob.com/players/1079451/danny-vitiello</t>
  </si>
  <si>
    <t xml:space="preserve">Jacob Randolph</t>
  </si>
  <si>
    <t xml:space="preserve">2001-04-09</t>
  </si>
  <si>
    <t xml:space="preserve">https://www.fotmob.com/players/1615772/jacob-randolph</t>
  </si>
  <si>
    <t xml:space="preserve">Brooks Doolittle</t>
  </si>
  <si>
    <t xml:space="preserve">2008-07-12</t>
  </si>
  <si>
    <t xml:space="preserve">https://www.fotmob.com/players/1997450/brooks-doolittle</t>
  </si>
  <si>
    <t xml:space="preserve">Lee Desmond</t>
  </si>
  <si>
    <t xml:space="preserve">1995-01-22</t>
  </si>
  <si>
    <t xml:space="preserve">https://www.fotmob.com/players/556023/lee-desmond</t>
  </si>
  <si>
    <t xml:space="preserve">Jack Gurr</t>
  </si>
  <si>
    <t xml:space="preserve">1995-11-26</t>
  </si>
  <si>
    <t xml:space="preserve">https://www.fotmob.com/players/1170733/jack-gurr</t>
  </si>
  <si>
    <t xml:space="preserve">Jared Timmer</t>
  </si>
  <si>
    <t xml:space="preserve">1997-04-29</t>
  </si>
  <si>
    <t xml:space="preserve">https://www.fotmob.com/players/1172907/jared-timmer</t>
  </si>
  <si>
    <t xml:space="preserve">Michelle Benítez</t>
  </si>
  <si>
    <t xml:space="preserve">1996-02-12</t>
  </si>
  <si>
    <t xml:space="preserve">https://www.fotmob.com/players/772825/michelle-benitez</t>
  </si>
  <si>
    <t xml:space="preserve">Ryan Spaulding</t>
  </si>
  <si>
    <t xml:space="preserve">LB,RB,LWB,LM</t>
  </si>
  <si>
    <t xml:space="preserve">1998-09-10</t>
  </si>
  <si>
    <t xml:space="preserve">https://www.fotmob.com/players/1195444/ryan-spaulding</t>
  </si>
  <si>
    <t xml:space="preserve">Freddy Kleemann</t>
  </si>
  <si>
    <t xml:space="preserve">1999-03-19</t>
  </si>
  <si>
    <t xml:space="preserve">https://www.fotmob.com/players/1246735/freddy-kleemann</t>
  </si>
  <si>
    <t xml:space="preserve">Aaron Essel</t>
  </si>
  <si>
    <t xml:space="preserve">CB,CM,RB,CDM,LB</t>
  </si>
  <si>
    <t xml:space="preserve">2005-07-30</t>
  </si>
  <si>
    <t xml:space="preserve">https://www.fotmob.com/players/1320050/aaron-essel</t>
  </si>
  <si>
    <t xml:space="preserve">Tim Leibold</t>
  </si>
  <si>
    <t xml:space="preserve">1993-11-30</t>
  </si>
  <si>
    <t xml:space="preserve">https://www.fotmob.com/players/458997/tim-leibold</t>
  </si>
  <si>
    <t xml:space="preserve">Rohan Chivukula</t>
  </si>
  <si>
    <t xml:space="preserve">2007-05-29</t>
  </si>
  <si>
    <t xml:space="preserve">https://www.fotmob.com/players/1921663/rohan-chivukula</t>
  </si>
  <si>
    <t xml:space="preserve">Reid Paskey</t>
  </si>
  <si>
    <t xml:space="preserve">2008-06-04</t>
  </si>
  <si>
    <t xml:space="preserve">https://www.fotmob.com/players/1938739/reid-paskey</t>
  </si>
  <si>
    <t xml:space="preserve">Danny Crisostomo</t>
  </si>
  <si>
    <t xml:space="preserve">1997-01-16</t>
  </si>
  <si>
    <t xml:space="preserve">https://www.fotmob.com/players/1073942/danny-crisostomo</t>
  </si>
  <si>
    <t xml:space="preserve">Memo Rodríguez</t>
  </si>
  <si>
    <t xml:space="preserve">1995-12-27</t>
  </si>
  <si>
    <t xml:space="preserve">https://www.fotmob.com/players/621886/memo-rodriguez</t>
  </si>
  <si>
    <t xml:space="preserve">Blake Willey</t>
  </si>
  <si>
    <t xml:space="preserve">RW,CM,CDM,CAM</t>
  </si>
  <si>
    <t xml:space="preserve">2007-04-28</t>
  </si>
  <si>
    <t xml:space="preserve">https://www.fotmob.com/players/1520638/blake-willey</t>
  </si>
  <si>
    <t xml:space="preserve">Mark-Anthony Kaye</t>
  </si>
  <si>
    <t xml:space="preserve">1994-12-02</t>
  </si>
  <si>
    <t xml:space="preserve">https://www.fotmob.com/players/632748/mark-anthony-kaye</t>
  </si>
  <si>
    <t xml:space="preserve">Alfredo Midence</t>
  </si>
  <si>
    <t xml:space="preserve">2002-06-29</t>
  </si>
  <si>
    <t xml:space="preserve">https://www.fotmob.com/players/1644458/alfredo-midence</t>
  </si>
  <si>
    <t xml:space="preserve">Pep Casas</t>
  </si>
  <si>
    <t xml:space="preserve">2000-06-20</t>
  </si>
  <si>
    <t xml:space="preserve">https://www.fotmob.com/players/1626273/pep-casas</t>
  </si>
  <si>
    <t xml:space="preserve">Mayele Malango</t>
  </si>
  <si>
    <t xml:space="preserve">LW,LM,RM</t>
  </si>
  <si>
    <t xml:space="preserve">1997-02-25</t>
  </si>
  <si>
    <t xml:space="preserve">Malawi</t>
  </si>
  <si>
    <t xml:space="preserve">https://www.fotmob.com/players/1178821/mayele-malango</t>
  </si>
  <si>
    <t xml:space="preserve">Forster Ajago</t>
  </si>
  <si>
    <t xml:space="preserve">2001-08-16</t>
  </si>
  <si>
    <t xml:space="preserve">https://www.fotmob.com/players/1600917/forster-ajago</t>
  </si>
  <si>
    <t xml:space="preserve">Arturo Rodríguez</t>
  </si>
  <si>
    <t xml:space="preserve">RW,CAM,LW,ST</t>
  </si>
  <si>
    <t xml:space="preserve">https://www.fotmob.com/players/1056536/arturo-rodriguez</t>
  </si>
  <si>
    <t xml:space="preserve">Tyler Wolff</t>
  </si>
  <si>
    <t xml:space="preserve">https://www.fotmob.com/players/1166552/tyler-wolff</t>
  </si>
  <si>
    <t xml:space="preserve">Kyle Edwards</t>
  </si>
  <si>
    <t xml:space="preserve">1997-01-15</t>
  </si>
  <si>
    <t xml:space="preserve">https://www.fotmob.com/players/647068/kyle-edwards</t>
  </si>
  <si>
    <t xml:space="preserve">Cal Jennings</t>
  </si>
  <si>
    <t xml:space="preserve">1997-05-17</t>
  </si>
  <si>
    <t xml:space="preserve">https://www.fotmob.com/players/1169331/cal-jennings</t>
  </si>
  <si>
    <t xml:space="preserve">Joseph Batrouni</t>
  </si>
  <si>
    <t xml:space="preserve">San Antonio FC</t>
  </si>
  <si>
    <t xml:space="preserve">2002-09-13</t>
  </si>
  <si>
    <t xml:space="preserve">https://www.fotmob.com/players/1724710/joseph-batrouni</t>
  </si>
  <si>
    <t xml:space="preserve">Richard Sánchez</t>
  </si>
  <si>
    <t xml:space="preserve">1994-04-05</t>
  </si>
  <si>
    <t xml:space="preserve">https://www.fotmob.com/players/254962/richard-sanchez</t>
  </si>
  <si>
    <t xml:space="preserve">Daniel Namani</t>
  </si>
  <si>
    <t xml:space="preserve">1996-12-13</t>
  </si>
  <si>
    <t xml:space="preserve">https://www.fotmob.com/players/1727117/daniel-namani</t>
  </si>
  <si>
    <t xml:space="preserve">Victor Velazquez</t>
  </si>
  <si>
    <t xml:space="preserve">https://www.fotmob.com/players/1828190/victor-velazquez</t>
  </si>
  <si>
    <t xml:space="preserve">Akeem Ward</t>
  </si>
  <si>
    <t xml:space="preserve">RWB,RB,RM</t>
  </si>
  <si>
    <t xml:space="preserve">1996-01-05</t>
  </si>
  <si>
    <t xml:space="preserve">https://www.fotmob.com/players/1025952/akeem-ward</t>
  </si>
  <si>
    <t xml:space="preserve">Mitchell Taintor</t>
  </si>
  <si>
    <t xml:space="preserve">1994-09-11</t>
  </si>
  <si>
    <t xml:space="preserve">https://www.fotmob.com/players/776966/mitchell-taintor</t>
  </si>
  <si>
    <t xml:space="preserve">Alex Crognale</t>
  </si>
  <si>
    <t xml:space="preserve">1994-08-27</t>
  </si>
  <si>
    <t xml:space="preserve">https://www.fotmob.com/players/825695/alex-crognale</t>
  </si>
  <si>
    <t xml:space="preserve">Emil Cuello</t>
  </si>
  <si>
    <t xml:space="preserve">1997-01-02</t>
  </si>
  <si>
    <t xml:space="preserve">https://www.fotmob.com/players/1026067/emil-cuello</t>
  </si>
  <si>
    <t xml:space="preserve">Santiago Suárez</t>
  </si>
  <si>
    <t xml:space="preserve">https://www.fotmob.com/players/1344756/santiago-suarez</t>
  </si>
  <si>
    <t xml:space="preserve">Daniel Barbir</t>
  </si>
  <si>
    <t xml:space="preserve">1998-01-31</t>
  </si>
  <si>
    <t xml:space="preserve">https://www.fotmob.com/players/760331/daniel-barbir</t>
  </si>
  <si>
    <t xml:space="preserve">Nelson Flores</t>
  </si>
  <si>
    <t xml:space="preserve">1999-08-17</t>
  </si>
  <si>
    <t xml:space="preserve">https://www.fotmob.com/players/1175223/nelson-flores</t>
  </si>
  <si>
    <t xml:space="preserve">Alexis Souahy</t>
  </si>
  <si>
    <t xml:space="preserve">1995-01-13</t>
  </si>
  <si>
    <t xml:space="preserve">Comoros</t>
  </si>
  <si>
    <t xml:space="preserve">https://www.fotmob.com/players/952169/alexis-souahy</t>
  </si>
  <si>
    <t xml:space="preserve">Rece Buckmaster</t>
  </si>
  <si>
    <t xml:space="preserve">1996-07-07</t>
  </si>
  <si>
    <t xml:space="preserve">https://www.fotmob.com/players/1026110/rece-buckmaster</t>
  </si>
  <si>
    <t xml:space="preserve">Ángel Mercado</t>
  </si>
  <si>
    <t xml:space="preserve">2007-09-06</t>
  </si>
  <si>
    <t xml:space="preserve">https://www.fotmob.com/players/1921659/angel-mercado</t>
  </si>
  <si>
    <t xml:space="preserve">Mikey Maldonado</t>
  </si>
  <si>
    <t xml:space="preserve">1998-07-02</t>
  </si>
  <si>
    <t xml:space="preserve">https://www.fotmob.com/players/1376134/mikey-maldonado</t>
  </si>
  <si>
    <t xml:space="preserve">Jorge Hernández</t>
  </si>
  <si>
    <t xml:space="preserve">LM,RM,LW,CAM,RW</t>
  </si>
  <si>
    <t xml:space="preserve">2000-11-08</t>
  </si>
  <si>
    <t xml:space="preserve">https://www.fotmob.com/players/971585/jorge-hernandez</t>
  </si>
  <si>
    <t xml:space="preserve">Cristian Parano</t>
  </si>
  <si>
    <t xml:space="preserve">CAM,RW,RM,LM</t>
  </si>
  <si>
    <t xml:space="preserve">1999-08-16</t>
  </si>
  <si>
    <t xml:space="preserve">https://www.fotmob.com/players/934891/cristian-parano</t>
  </si>
  <si>
    <t xml:space="preserve">Lucio Berrón</t>
  </si>
  <si>
    <t xml:space="preserve">2001-10-05</t>
  </si>
  <si>
    <t xml:space="preserve">https://www.fotmob.com/players/1727112/lucio-berron</t>
  </si>
  <si>
    <t xml:space="preserve">Curt Calov</t>
  </si>
  <si>
    <t xml:space="preserve">2003-11-11</t>
  </si>
  <si>
    <t xml:space="preserve">https://www.fotmob.com/players/1760419/curt-calov</t>
  </si>
  <si>
    <t xml:space="preserve">Nicky Hernandez</t>
  </si>
  <si>
    <t xml:space="preserve">CM,CAM,RM,CDM</t>
  </si>
  <si>
    <t xml:space="preserve">https://www.fotmob.com/players/1197526/nicky-hernandez</t>
  </si>
  <si>
    <t xml:space="preserve">Christian Sorto</t>
  </si>
  <si>
    <t xml:space="preserve">ST,RM</t>
  </si>
  <si>
    <t xml:space="preserve">2000-01-19</t>
  </si>
  <si>
    <t xml:space="preserve">https://www.fotmob.com/players/1064711/christian-sorto</t>
  </si>
  <si>
    <t xml:space="preserve">Santiago Patiño</t>
  </si>
  <si>
    <t xml:space="preserve">1997-03-10</t>
  </si>
  <si>
    <t xml:space="preserve">https://www.fotmob.com/players/1026107/santiago-patino</t>
  </si>
  <si>
    <t xml:space="preserve">Diogo Pacheco</t>
  </si>
  <si>
    <t xml:space="preserve">1998-09-13</t>
  </si>
  <si>
    <t xml:space="preserve">https://www.fotmob.com/players/1355567/diogo-pacheco</t>
  </si>
  <si>
    <t xml:space="preserve">Luke Haakenson</t>
  </si>
  <si>
    <t xml:space="preserve">1997-09-10</t>
  </si>
  <si>
    <t xml:space="preserve">https://www.fotmob.com/players/1166264/luke-haakenson</t>
  </si>
  <si>
    <t xml:space="preserve">Lilian Ricol</t>
  </si>
  <si>
    <t xml:space="preserve">2002-10-23</t>
  </si>
  <si>
    <t xml:space="preserve">https://www.fotmob.com/players/1601768/lilian-ricol</t>
  </si>
  <si>
    <t xml:space="preserve">Luis Paredes</t>
  </si>
  <si>
    <t xml:space="preserve">https://www.fotmob.com/players/1435963/luis-paredes</t>
  </si>
  <si>
    <t xml:space="preserve">Alex Greive</t>
  </si>
  <si>
    <t xml:space="preserve">https://www.fotmob.com/players/1330000/alex-greive</t>
  </si>
  <si>
    <t xml:space="preserve">Leonides Urrutia</t>
  </si>
  <si>
    <t xml:space="preserve">2008-11-17</t>
  </si>
  <si>
    <t xml:space="preserve">https://www.fotmob.com/players/1800681/leonides-urrutia</t>
  </si>
  <si>
    <t xml:space="preserve">Jake McGuire</t>
  </si>
  <si>
    <t xml:space="preserve">Sporting JAX</t>
  </si>
  <si>
    <t xml:space="preserve">1994-09-03</t>
  </si>
  <si>
    <t xml:space="preserve">https://www.fotmob.com/players/825635/jake-mcguire</t>
  </si>
  <si>
    <t xml:space="preserve">Juan Casas</t>
  </si>
  <si>
    <t xml:space="preserve">2003-03-16</t>
  </si>
  <si>
    <t xml:space="preserve">https://www.fotmob.com/players/1919892/juan-casas</t>
  </si>
  <si>
    <t xml:space="preserve">Harvey Neville</t>
  </si>
  <si>
    <t xml:space="preserve">RB,CB,RM,LB,CM</t>
  </si>
  <si>
    <t xml:space="preserve">https://www.fotmob.com/players/1187155/harvey-neville</t>
  </si>
  <si>
    <t xml:space="preserve">Ryan Edwards</t>
  </si>
  <si>
    <t xml:space="preserve">1993-10-07</t>
  </si>
  <si>
    <t xml:space="preserve">https://www.fotmob.com/players/330468/ryan-edwards</t>
  </si>
  <si>
    <t xml:space="preserve">Tyshawn Rose</t>
  </si>
  <si>
    <t xml:space="preserve">2000-08-30</t>
  </si>
  <si>
    <t xml:space="preserve">https://www.fotmob.com/players/1470132/tyshawn-rose</t>
  </si>
  <si>
    <t xml:space="preserve">Antonio Gomez</t>
  </si>
  <si>
    <t xml:space="preserve">2001-12-15</t>
  </si>
  <si>
    <t xml:space="preserve">https://www.fotmob.com/players/1617267/antonio-gomez</t>
  </si>
  <si>
    <t xml:space="preserve">Wahab Ackwei</t>
  </si>
  <si>
    <t xml:space="preserve">1996-10-19</t>
  </si>
  <si>
    <t xml:space="preserve">https://www.fotmob.com/players/1059395/wahab-ackwei</t>
  </si>
  <si>
    <t xml:space="preserve">Danny Wilson</t>
  </si>
  <si>
    <t xml:space="preserve">1991-12-27</t>
  </si>
  <si>
    <t xml:space="preserve">https://www.fotmob.com/players/168308/danny-wilson</t>
  </si>
  <si>
    <t xml:space="preserve">Dida Armstrong</t>
  </si>
  <si>
    <t xml:space="preserve">RW,RWB</t>
  </si>
  <si>
    <t xml:space="preserve">2004-06-04</t>
  </si>
  <si>
    <t xml:space="preserve">https://www.fotmob.com/players/1346880/dida-armstrong</t>
  </si>
  <si>
    <t xml:space="preserve">Mohamed Traore</t>
  </si>
  <si>
    <t xml:space="preserve">2002-08-15</t>
  </si>
  <si>
    <t xml:space="preserve">https://www.fotmob.com/players/1177861/mohamed-traore</t>
  </si>
  <si>
    <t xml:space="preserve">Marcus Godinho</t>
  </si>
  <si>
    <t xml:space="preserve">LB,LM,RM</t>
  </si>
  <si>
    <t xml:space="preserve">1997-06-28</t>
  </si>
  <si>
    <t xml:space="preserve">https://www.fotmob.com/players/658133/marcus-godinho</t>
  </si>
  <si>
    <t xml:space="preserve">Ventura Alvarado</t>
  </si>
  <si>
    <t xml:space="preserve">1992-08-16</t>
  </si>
  <si>
    <t xml:space="preserve">https://www.fotmob.com/players/415706/ventura-alvarado</t>
  </si>
  <si>
    <t xml:space="preserve">Ethan Dudley</t>
  </si>
  <si>
    <t xml:space="preserve">https://www.fotmob.com/players/1676058/ethan-dudley</t>
  </si>
  <si>
    <t xml:space="preserve">Jordan Rossiter</t>
  </si>
  <si>
    <t xml:space="preserve">1997-03-24</t>
  </si>
  <si>
    <t xml:space="preserve">https://www.fotmob.com/players/516002/jordan-rossiter</t>
  </si>
  <si>
    <t xml:space="preserve">Edgardo Rito</t>
  </si>
  <si>
    <t xml:space="preserve">RM,RB,RWB</t>
  </si>
  <si>
    <t xml:space="preserve">1996-02-17</t>
  </si>
  <si>
    <t xml:space="preserve">https://www.fotmob.com/players/495686/edgardo-rito</t>
  </si>
  <si>
    <t xml:space="preserve">Wan Kuzain</t>
  </si>
  <si>
    <t xml:space="preserve">RW,CDM,CM</t>
  </si>
  <si>
    <t xml:space="preserve">Malaysia</t>
  </si>
  <si>
    <t xml:space="preserve">https://www.fotmob.com/players/941737/wan-kuzain</t>
  </si>
  <si>
    <t xml:space="preserve">Rafferty Pedder</t>
  </si>
  <si>
    <t xml:space="preserve">RW,CM,CAM,LM</t>
  </si>
  <si>
    <t xml:space="preserve">2002-04-06</t>
  </si>
  <si>
    <t xml:space="preserve">https://www.fotmob.com/players/1562361/rafferty-pedder</t>
  </si>
  <si>
    <t xml:space="preserve">Raheem Somersall</t>
  </si>
  <si>
    <t xml:space="preserve">1997-07-05</t>
  </si>
  <si>
    <t xml:space="preserve">St. Kitts and Nevis</t>
  </si>
  <si>
    <t xml:space="preserve">https://www.fotmob.com/players/855399/raheem-somersall</t>
  </si>
  <si>
    <t xml:space="preserve">Thomas Roberts</t>
  </si>
  <si>
    <t xml:space="preserve">LW,RM,LM,CDM,CM</t>
  </si>
  <si>
    <t xml:space="preserve">2001-05-11</t>
  </si>
  <si>
    <t xml:space="preserve">https://www.fotmob.com/players/1026054/thomas-roberts</t>
  </si>
  <si>
    <t xml:space="preserve">Jean Mota</t>
  </si>
  <si>
    <t xml:space="preserve">CM,CAM,RW</t>
  </si>
  <si>
    <t xml:space="preserve">1993-10-15</t>
  </si>
  <si>
    <t xml:space="preserve">https://www.fotmob.com/players/305454/jean-mota</t>
  </si>
  <si>
    <t xml:space="preserve">Brem Soumaoro</t>
  </si>
  <si>
    <t xml:space="preserve">1996-08-08</t>
  </si>
  <si>
    <t xml:space="preserve">https://www.fotmob.com/players/562876/brem-soumaoro</t>
  </si>
  <si>
    <t xml:space="preserve">Ezekiel Soto</t>
  </si>
  <si>
    <t xml:space="preserve">2007-01-14</t>
  </si>
  <si>
    <t xml:space="preserve">https://www.fotmob.com/players/1658520/ezekiel-soto</t>
  </si>
  <si>
    <t xml:space="preserve">Jacob Evans</t>
  </si>
  <si>
    <t xml:space="preserve">1997-12-12</t>
  </si>
  <si>
    <t xml:space="preserve">https://www.fotmob.com/players/1348312/jacob-evans</t>
  </si>
  <si>
    <t xml:space="preserve">Jack Proctor</t>
  </si>
  <si>
    <t xml:space="preserve">2008-06-08</t>
  </si>
  <si>
    <t xml:space="preserve">https://www.fotmob.com/players/1530723/jack-proctor</t>
  </si>
  <si>
    <t xml:space="preserve">Ethan Underwood</t>
  </si>
  <si>
    <t xml:space="preserve">https://www.fotmob.com/players/1975687/ethan-underwood</t>
  </si>
  <si>
    <t xml:space="preserve">Emil Jääskeläinen</t>
  </si>
  <si>
    <t xml:space="preserve">https://www.fotmob.com/players/1075184/emil-jaaskelainen</t>
  </si>
  <si>
    <t xml:space="preserve">Kieran Sadlier</t>
  </si>
  <si>
    <t xml:space="preserve">LW,CM,RW</t>
  </si>
  <si>
    <t xml:space="preserve">1994-09-14</t>
  </si>
  <si>
    <t xml:space="preserve">https://www.fotmob.com/players/614458/kieran-sadlier</t>
  </si>
  <si>
    <t xml:space="preserve">Ahmad Al Qaq</t>
  </si>
  <si>
    <t xml:space="preserve">ST,RM,RW,RWB,LM,LW</t>
  </si>
  <si>
    <t xml:space="preserve">2002-02-20</t>
  </si>
  <si>
    <t xml:space="preserve">https://www.fotmob.com/players/1727104/ahmad-al-qaq</t>
  </si>
  <si>
    <t xml:space="preserve">Luc Granitur</t>
  </si>
  <si>
    <t xml:space="preserve">2003-01-12</t>
  </si>
  <si>
    <t xml:space="preserve">https://www.fotmob.com/players/1082254/luc-granitur</t>
  </si>
  <si>
    <t xml:space="preserve">Adam Luckhurst</t>
  </si>
  <si>
    <t xml:space="preserve">2002-06-27</t>
  </si>
  <si>
    <t xml:space="preserve">https://www.fotmob.com/players/1727106/adam-luckhurst</t>
  </si>
  <si>
    <t xml:space="preserve">Jahmali Waite</t>
  </si>
  <si>
    <t xml:space="preserve">Tampa Bay Rowdies</t>
  </si>
  <si>
    <t xml:space="preserve">1998-12-24</t>
  </si>
  <si>
    <t xml:space="preserve">https://www.fotmob.com/players/1352794/jahmali-waite</t>
  </si>
  <si>
    <t xml:space="preserve">Austin Pack</t>
  </si>
  <si>
    <t xml:space="preserve">1994-02-15</t>
  </si>
  <si>
    <t xml:space="preserve">https://www.fotmob.com/players/1082962/austin-pack</t>
  </si>
  <si>
    <t xml:space="preserve">Nathan Dossantos</t>
  </si>
  <si>
    <t xml:space="preserve">1999-04-11</t>
  </si>
  <si>
    <t xml:space="preserve">https://www.fotmob.com/players/1338695/nathan-dossantos</t>
  </si>
  <si>
    <t xml:space="preserve">Charlie Ostrem</t>
  </si>
  <si>
    <t xml:space="preserve">1999-10-12</t>
  </si>
  <si>
    <t xml:space="preserve">https://www.fotmob.com/players/1338618/charlie-ostrem</t>
  </si>
  <si>
    <t xml:space="preserve">Dion Acoff</t>
  </si>
  <si>
    <t xml:space="preserve">1991-09-23</t>
  </si>
  <si>
    <t xml:space="preserve">https://www.fotmob.com/players/650320/dion-acoff</t>
  </si>
  <si>
    <t xml:space="preserve">Brian Schaefer</t>
  </si>
  <si>
    <t xml:space="preserve">2002-04-17</t>
  </si>
  <si>
    <t xml:space="preserve">https://www.fotmob.com/players/1652661/brian-schaefer</t>
  </si>
  <si>
    <t xml:space="preserve">Laurence Wyke</t>
  </si>
  <si>
    <t xml:space="preserve">1996-09-20</t>
  </si>
  <si>
    <t xml:space="preserve">https://www.fotmob.com/players/1056524/laurence-wyke</t>
  </si>
  <si>
    <t xml:space="preserve">Ethan Bartlow</t>
  </si>
  <si>
    <t xml:space="preserve">2000-02-02</t>
  </si>
  <si>
    <t xml:space="preserve">https://www.fotmob.com/players/1246605/ethan-bartlow</t>
  </si>
  <si>
    <t xml:space="preserve">Yanis Leerman</t>
  </si>
  <si>
    <t xml:space="preserve">1998-06-15</t>
  </si>
  <si>
    <t xml:space="preserve">https://www.fotmob.com/players/1338617/yanis-leerman</t>
  </si>
  <si>
    <t xml:space="preserve">Leland Archer</t>
  </si>
  <si>
    <t xml:space="preserve">1996-01-08</t>
  </si>
  <si>
    <t xml:space="preserve">https://www.fotmob.com/players/1057835/leland-archer</t>
  </si>
  <si>
    <t xml:space="preserve">Gennaro Nigro</t>
  </si>
  <si>
    <t xml:space="preserve">2000-05-29</t>
  </si>
  <si>
    <t xml:space="preserve">https://www.fotmob.com/players/960597/gennaro-nigro</t>
  </si>
  <si>
    <t xml:space="preserve">Alexander Rodriguez</t>
  </si>
  <si>
    <t xml:space="preserve">https://www.fotmob.com/players/1744398/alexander-rodriguez</t>
  </si>
  <si>
    <t xml:space="preserve">Jesse Tita</t>
  </si>
  <si>
    <t xml:space="preserve">2006-11-18</t>
  </si>
  <si>
    <t xml:space="preserve">https://www.fotmob.com/players/1921658/jesse-tita</t>
  </si>
  <si>
    <t xml:space="preserve">Max Schneider</t>
  </si>
  <si>
    <t xml:space="preserve">CDM,CB,CM</t>
  </si>
  <si>
    <t xml:space="preserve">https://www.fotmob.com/players/1346878/max-schneider</t>
  </si>
  <si>
    <t xml:space="preserve">Sebastian Cruz</t>
  </si>
  <si>
    <t xml:space="preserve">CDM,RB,RW,CM,LB</t>
  </si>
  <si>
    <t xml:space="preserve">2000-07-31</t>
  </si>
  <si>
    <t xml:space="preserve">https://www.fotmob.com/players/1463253/sebastian-cruz</t>
  </si>
  <si>
    <t xml:space="preserve">Pedro Dolabella</t>
  </si>
  <si>
    <t xml:space="preserve">CAM,ST,CM,CDM,LW</t>
  </si>
  <si>
    <t xml:space="preserve">1999-07-29</t>
  </si>
  <si>
    <t xml:space="preserve">https://www.fotmob.com/players/1348303/pedro-dolabella</t>
  </si>
  <si>
    <t xml:space="preserve">Louis Perez</t>
  </si>
  <si>
    <t xml:space="preserve">RW,CM,LM</t>
  </si>
  <si>
    <t xml:space="preserve">1997-06-11</t>
  </si>
  <si>
    <t xml:space="preserve">https://www.fotmob.com/players/1253521/louis-perez</t>
  </si>
  <si>
    <t xml:space="preserve">Lewis Hilton</t>
  </si>
  <si>
    <t xml:space="preserve">1993-10-22</t>
  </si>
  <si>
    <t xml:space="preserve">https://www.fotmob.com/players/762335/lewis-hilton</t>
  </si>
  <si>
    <t xml:space="preserve">Marco Micaletto</t>
  </si>
  <si>
    <t xml:space="preserve">1996-01-19</t>
  </si>
  <si>
    <t xml:space="preserve">https://www.fotmob.com/players/847568/marco-micaletto</t>
  </si>
  <si>
    <t xml:space="preserve">MD Myers</t>
  </si>
  <si>
    <t xml:space="preserve">2001-04-05</t>
  </si>
  <si>
    <t xml:space="preserve">https://www.fotmob.com/players/1463307/md-myers</t>
  </si>
  <si>
    <t xml:space="preserve">Russell Cicerone</t>
  </si>
  <si>
    <t xml:space="preserve">LW,ST</t>
  </si>
  <si>
    <t xml:space="preserve">1994-11-17</t>
  </si>
  <si>
    <t xml:space="preserve">https://www.fotmob.com/players/858760/russell-cicerone</t>
  </si>
  <si>
    <t xml:space="preserve">Jürgen Locadia</t>
  </si>
  <si>
    <t xml:space="preserve">1993-11-07</t>
  </si>
  <si>
    <t xml:space="preserve">https://www.fotmob.com/players/289441/jurgen-locadia</t>
  </si>
  <si>
    <t xml:space="preserve">Evan Conway</t>
  </si>
  <si>
    <t xml:space="preserve">1997-11-07</t>
  </si>
  <si>
    <t xml:space="preserve">https://www.fotmob.com/players/1173020/evan-conway</t>
  </si>
  <si>
    <t xml:space="preserve">Karsen Henderlong</t>
  </si>
  <si>
    <t xml:space="preserve">2000-09-24</t>
  </si>
  <si>
    <t xml:space="preserve">https://www.fotmob.com/players/1615778/karsen-henderlong</t>
  </si>
  <si>
    <t xml:space="preserve">Gino Vivi</t>
  </si>
  <si>
    <t xml:space="preserve">2000-12-20</t>
  </si>
  <si>
    <t xml:space="preserve">Costa Rica</t>
  </si>
  <si>
    <t xml:space="preserve">https://www.fotmob.com/players/1440020/gino-vivi</t>
  </si>
  <si>
    <t xml:space="preserve">Ramiz Hamouda</t>
  </si>
  <si>
    <t xml:space="preserve">Fuera de plantilla actual</t>
  </si>
  <si>
    <t xml:space="preserve">https://www.fotmob.com/players/1626272/ramiz-hamouda</t>
  </si>
  <si>
    <t xml:space="preserve">Keegan Hughes</t>
  </si>
  <si>
    <t xml:space="preserve">https://www.fotmob.com/players/1440017/keegan-hughes</t>
  </si>
  <si>
    <t xml:space="preserve">Leo Duru</t>
  </si>
  <si>
    <t xml:space="preserve">https://www.fotmob.com/players/1360350/leo-duru</t>
  </si>
  <si>
    <t xml:space="preserve">Kayne Rizvanovich</t>
  </si>
  <si>
    <t xml:space="preserve">https://www.fotmob.com/players/1732519/kayne-rizvanovich</t>
  </si>
  <si>
    <t xml:space="preserve">Markus Anderson</t>
  </si>
  <si>
    <t xml:space="preserve">https://www.fotmob.com/players/1537807/markus-anderson</t>
  </si>
  <si>
    <t xml:space="preserve">Shaan Hundal</t>
  </si>
  <si>
    <t xml:space="preserve">CAN</t>
  </si>
  <si>
    <t xml:space="preserve">https://www.fotmob.com/players/754585/shaan-hundal</t>
  </si>
  <si>
    <t xml:space="preserve">Medgy Alexandre</t>
  </si>
  <si>
    <t xml:space="preserve">https://www.fotmob.com/players/1637900/medgy-alexandre</t>
  </si>
  <si>
    <t xml:space="preserve">Mukisa Kiingi</t>
  </si>
  <si>
    <t xml:space="preserve">https://www.fotmob.com/players/1780441/mukisa-kiingi</t>
  </si>
  <si>
    <t xml:space="preserve">Levonte Johnson</t>
  </si>
  <si>
    <t xml:space="preserve">https://www.fotmob.com/players/1439929/levonte-johnson</t>
  </si>
  <si>
    <t xml:space="preserve">Nelson Pierre</t>
  </si>
  <si>
    <t xml:space="preserve">HAI</t>
  </si>
  <si>
    <t xml:space="preserve">https://www.fotmob.com/players/1346905/nelson-pierre</t>
  </si>
  <si>
    <t xml:space="preserve">Andrés Hernández</t>
  </si>
  <si>
    <t xml:space="preserve">https://www.fotmob.com/players/1413144/andres-hernandez</t>
  </si>
  <si>
    <t xml:space="preserve">Logan Neidlinger</t>
  </si>
  <si>
    <t xml:space="preserve">https://www.fotmob.com/players/1615795/logan-neidlinger</t>
  </si>
  <si>
    <t xml:space="preserve">Mikah Thomas</t>
  </si>
  <si>
    <t xml:space="preserve">https://www.fotmob.com/players/1455815/mikah-thomas</t>
  </si>
  <si>
    <t xml:space="preserve">Jared Mazzola</t>
  </si>
  <si>
    <t xml:space="preserve">https://www.fotmob.com/players/1615718/jared-mazzola</t>
  </si>
  <si>
    <t xml:space="preserve">Mason Stajduhar</t>
  </si>
  <si>
    <t xml:space="preserve">https://www.fotmob.com/players/729507/mason-stajduhar</t>
  </si>
  <si>
    <t xml:space="preserve">Elias Gärtig</t>
  </si>
  <si>
    <t xml:space="preserve">DEN</t>
  </si>
  <si>
    <t xml:space="preserve">https://www.fotmob.com/players/1234692/elias-gartig</t>
  </si>
  <si>
    <t xml:space="preserve">Handwalla Bwana</t>
  </si>
  <si>
    <t xml:space="preserve">SOM</t>
  </si>
  <si>
    <t xml:space="preserve">https://www.fotmob.com/players/924442/handwalla-bwana</t>
  </si>
  <si>
    <t xml:space="preserve">Jahlane Forbes</t>
  </si>
  <si>
    <t xml:space="preserve">https://www.fotmob.com/players/1082236/jahlane-forbes</t>
  </si>
  <si>
    <t xml:space="preserve">Nighte Pickering</t>
  </si>
  <si>
    <t xml:space="preserve">https://www.fotmob.com/players/1393570/nighte-pickering</t>
  </si>
  <si>
    <t xml:space="preserve">Latif Blessing</t>
  </si>
  <si>
    <t xml:space="preserve">NIG</t>
  </si>
  <si>
    <t xml:space="preserve">https://www.fotmob.com/players/825584/latif-blessing</t>
  </si>
  <si>
    <t xml:space="preserve">Adam Beaudry</t>
  </si>
  <si>
    <t xml:space="preserve">https://www.fotmob.com/players/1610216/adam-beaudry</t>
  </si>
  <si>
    <t xml:space="preserve">Andrés Souper</t>
  </si>
  <si>
    <t xml:space="preserve">CHI</t>
  </si>
  <si>
    <t xml:space="preserve">https://www.fotmob.com/players/907869/andres-souper</t>
  </si>
  <si>
    <t xml:space="preserve">Thorleifur Úlfarsson</t>
  </si>
  <si>
    <t xml:space="preserve">ISL</t>
  </si>
  <si>
    <t xml:space="preserve">https://www.fotmob.com/players/1195273/thorleifur-ulfarsson</t>
  </si>
  <si>
    <t xml:space="preserve">Brandon Bent</t>
  </si>
  <si>
    <t xml:space="preserve">JAM</t>
  </si>
  <si>
    <t xml:space="preserve">https://www.fotmob.com/players/1727114/brandon-bent</t>
  </si>
  <si>
    <t xml:space="preserve">Preston Kilwien</t>
  </si>
  <si>
    <t xml:space="preserve">https://www.fotmob.com/players/1082123/preston-kilwien</t>
  </si>
  <si>
    <t xml:space="preserve">Alexander Naranjo</t>
  </si>
  <si>
    <t xml:space="preserve">https://www.fotmob.com/players/1791432/alexander-naranjo</t>
  </si>
  <si>
    <t xml:space="preserve">Mathieu Ndongo</t>
  </si>
  <si>
    <t xml:space="preserve">CMR</t>
  </si>
  <si>
    <t xml:space="preserve">https://www.fotmob.com/players/1810538/mathieu-ndongo</t>
  </si>
  <si>
    <t xml:space="preserve">Chris-Kévin Nadje</t>
  </si>
  <si>
    <t xml:space="preserve">CIV</t>
  </si>
  <si>
    <t xml:space="preserve">https://www.fotmob.com/players/1520422/chris-kevin-nadje</t>
  </si>
  <si>
    <t xml:space="preserve">Riley Bidois</t>
  </si>
  <si>
    <t xml:space="preserve">NZL</t>
  </si>
  <si>
    <t xml:space="preserve">https://www.fotmob.com/players/1353588/riley-bidois</t>
  </si>
  <si>
    <t xml:space="preserve">Anisse Saidi</t>
  </si>
  <si>
    <t xml:space="preserve">TUN</t>
  </si>
  <si>
    <t xml:space="preserve">https://www.fotmob.com/players/1732772/anisse-saidi</t>
  </si>
  <si>
    <t xml:space="preserve">Will Seymore</t>
  </si>
  <si>
    <t xml:space="preserve">https://www.fotmob.com/players/1083230/will-seymore</t>
  </si>
  <si>
    <t xml:space="preserve">Arturo Astorga</t>
  </si>
  <si>
    <t xml:space="preserve">https://www.fotmob.com/players/1555153/arturo-astorga</t>
  </si>
  <si>
    <t xml:space="preserve">Joseph Melto Quiah</t>
  </si>
  <si>
    <t xml:space="preserve">LBR</t>
  </si>
  <si>
    <t xml:space="preserve">https://www.fotmob.com/players/1919758/joseph-melto-quiah</t>
  </si>
  <si>
    <t xml:space="preserve">Ali Elmasnaouy</t>
  </si>
  <si>
    <t xml:space="preserve">https://www.fotmob.com/players/1638338/ali-elmasnaouy</t>
  </si>
  <si>
    <t xml:space="preserve">Bradley Roberson</t>
  </si>
  <si>
    <t xml:space="preserve">https://www.fotmob.com/players/1921668/bradley-roberson</t>
  </si>
  <si>
    <t xml:space="preserve">Jesse Maldonado</t>
  </si>
  <si>
    <t xml:space="preserve">https://www.fotmob.com/players/1341114/jesse-maldonado</t>
  </si>
  <si>
    <t xml:space="preserve">Pedro Guimaraes</t>
  </si>
  <si>
    <t xml:space="preserve">https://www.fotmob.com/players/1667774/pedro-guimaraes</t>
  </si>
  <si>
    <t xml:space="preserve">Josh Martinez</t>
  </si>
  <si>
    <t xml:space="preserve">https://www.fotmob.com/players/1368923/josh-martinez</t>
  </si>
  <si>
    <t xml:space="preserve">Aleksandar Vukovic</t>
  </si>
  <si>
    <t xml:space="preserve">SRB</t>
  </si>
  <si>
    <t xml:space="preserve">https://www.fotmob.com/players/1919791/aleksandar-vukovic</t>
  </si>
  <si>
    <t xml:space="preserve">Gilberto Rivera</t>
  </si>
  <si>
    <t xml:space="preserve">https://www.fotmob.com/players/1910885/gilberto-rivera</t>
  </si>
  <si>
    <t xml:space="preserve">Jamison Ping</t>
  </si>
  <si>
    <t xml:space="preserve">https://www.fotmob.com/players/1662133/jamison-ping</t>
  </si>
  <si>
    <t xml:space="preserve">Darius Johnson</t>
  </si>
  <si>
    <t xml:space="preserve">GRN</t>
  </si>
  <si>
    <t xml:space="preserve">https://www.fotmob.com/players/1075251/darius-johnson</t>
  </si>
  <si>
    <t xml:space="preserve">Juan Carvajal</t>
  </si>
  <si>
    <t xml:space="preserve">COL</t>
  </si>
  <si>
    <t xml:space="preserve">https://www.fotmob.com/players/1520631/juan-carvajal</t>
  </si>
  <si>
    <t xml:space="preserve">Brigham Larsen</t>
  </si>
  <si>
    <t xml:space="preserve">NOR</t>
  </si>
  <si>
    <t xml:space="preserve">https://www.fotmob.com/players/1724752/brigham-larsen</t>
  </si>
  <si>
    <t xml:space="preserve">Clay Holstad</t>
  </si>
  <si>
    <t xml:space="preserve">https://www.fotmob.com/players/1478367/clay-holstad</t>
  </si>
  <si>
    <t xml:space="preserve">JJ Williams</t>
  </si>
  <si>
    <t xml:space="preserve">https://www.fotmob.com/players/1025934/jj-williams</t>
  </si>
  <si>
    <t xml:space="preserve">Chibuike Ukaegbu</t>
  </si>
  <si>
    <t xml:space="preserve">https://www.fotmob.com/players/1615719/chibuike-ukaegbu</t>
  </si>
  <si>
    <t xml:space="preserve">ESP</t>
  </si>
  <si>
    <t xml:space="preserve">https://www.fotmob.com/players/1708523/pep-casas</t>
  </si>
  <si>
    <t xml:space="preserve">Dominik Wanner</t>
  </si>
  <si>
    <t xml:space="preserve">GER</t>
  </si>
  <si>
    <t xml:space="preserve">https://www.fotmob.com/players/860585/dominik-wanner</t>
  </si>
  <si>
    <t xml:space="preserve">Dmitriy Erofeev</t>
  </si>
  <si>
    <t xml:space="preserve">RUS</t>
  </si>
  <si>
    <t xml:space="preserve">https://www.fotmob.com/players/1649152/dmitriy-erofeev</t>
  </si>
  <si>
    <t xml:space="preserve">Emmanuel Johnson</t>
  </si>
  <si>
    <t xml:space="preserve">https://www.fotmob.com/players/1252616/emmanuel-johnson</t>
  </si>
  <si>
    <t xml:space="preserve">Christian Olivares</t>
  </si>
  <si>
    <t xml:space="preserve">https://www.fotmob.com/players/1610324/christian-olivares</t>
  </si>
  <si>
    <t xml:space="preserve">Adonijah Reid</t>
  </si>
  <si>
    <t xml:space="preserve">https://www.fotmob.com/players/825605/adonijah-reid</t>
  </si>
  <si>
    <t xml:space="preserve">Conner Antley</t>
  </si>
  <si>
    <t xml:space="preserve">https://www.fotmob.com/players/1045118/conner-antley</t>
  </si>
  <si>
    <t xml:space="preserve">Isaiah LeFlore</t>
  </si>
  <si>
    <t xml:space="preserve">https://www.fotmob.com/players/1190717/isaiah-leflore</t>
  </si>
  <si>
    <t xml:space="preserve">Mattheus</t>
  </si>
  <si>
    <t xml:space="preserve">BRA</t>
  </si>
  <si>
    <t xml:space="preserve">https://www.fotmob.com/players/323380/mattheus</t>
  </si>
  <si>
    <t xml:space="preserve">Jugadores en plantilla</t>
  </si>
  <si>
    <t xml:space="preserve">Porteros</t>
  </si>
  <si>
    <t xml:space="preserve">Defensas</t>
  </si>
  <si>
    <t xml:space="preserve">Mediocampistas</t>
  </si>
  <si>
    <t xml:space="preserve">Delanteros</t>
  </si>
  <si>
    <t xml:space="preserve">Edad media</t>
  </si>
  <si>
    <t xml:space="preserve">Jugadores fuera de plantilla (jugaron 2026)</t>
  </si>
  <si>
    <t xml:space="preserve">TOTAL</t>
  </si>
  <si>
    <t xml:space="preserve">Campo</t>
  </si>
  <si>
    <t xml:space="preserve">Detalle</t>
  </si>
  <si>
    <t xml:space="preserve">Fuente</t>
  </si>
  <si>
    <t xml:space="preserve">FotMob — USL Championship 2026 (liga 8972, temporada 30301). Plantillas: fotmob.com/teams/[id]/squad. Estadísticas: data.fotmob.com/stats/8972/season/30301/*.json</t>
  </si>
  <si>
    <t xml:space="preserve">Fecha de extracción</t>
  </si>
  <si>
    <t xml:space="preserve">30 sep 2026 (tras ~26 jornadas de temporada regular)</t>
  </si>
  <si>
    <t xml:space="preserve">Cobertura</t>
  </si>
  <si>
    <t xml:space="preserve">669 jugadores en plantillas actuales de los 25 clubes + 56 que jugaron en 2026 pero ya no figuran en ninguna plantilla (cedidos/traspasados/liberados). Entrenadores excluidos.</t>
  </si>
  <si>
    <t xml:space="preserve">Métricas /90</t>
  </si>
  <si>
    <t xml:space="preserve">FotMob solo publica las métricas por 90 min a partir de un mínimo de minutos; una celda vacía significa "sin dato / por debajo del umbral", no cero.</t>
  </si>
  <si>
    <t xml:space="preserve">Estimación algorítmica de FotMob, no valor de mercado real ni salario. Útil solo como referencia relativa.</t>
  </si>
  <si>
    <t xml:space="preserve">LSC aparece incluido como referencia de comparación; filtrar Club ≠ "Lexington SC" para ver objetivos externos.</t>
  </si>
  <si>
    <t xml:space="preserve">Rating FotMob / MVP partido</t>
  </si>
  <si>
    <t xml:space="preserve">Rating medio de temporada; MVP = veces nombrado jugador del partido.</t>
  </si>
  <si>
    <t xml:space="preserve">Estado del contrato</t>
  </si>
  <si>
    <t xml:space="preserve">No disponible en FotMob — pendiente de otra fuente si se usa como criterio.</t>
  </si>
  <si>
    <t xml:space="preserve">Próximo paso</t>
  </si>
  <si>
    <t xml:space="preserve">Añadir criterios de scouting (posición, edad, minutos mínimos, métricas clave) y construir ranking/percentiles por posición.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</si>
</sst>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5F1E9"/>
      <name val="Arial"/>
      <family val="0"/>
      <charset val="1"/>
    </font>
    <font>
      <sz val="10"/>
      <name val="Arial"/>
      <family val="0"/>
      <charset val="1"/>
    </font>
    <font>
      <u val="single"/>
      <sz val="10"/>
      <color rgb="FF1F6F2E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11111"/>
        <bgColor rgb="FF000000"/>
      </patternFill>
    </fill>
    <fill>
      <patternFill patternType="solid">
        <fgColor rgb="FF3DDC5A"/>
        <bgColor rgb="FF3399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11111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5F1E9"/>
          <bgColor rgb="FF000000"/>
        </patternFill>
      </fill>
    </dxf>
    <dxf>
      <fill>
        <patternFill patternType="solid">
          <fgColor rgb="FF1F6F2E"/>
          <bgColor rgb="FF000000"/>
        </patternFill>
      </fill>
    </dxf>
  </dxfs>
  <colors>
    <indexedColors>
      <rgbColor rgb="FF000000"/>
      <rgbColor rgb="FFF5F1E9"/>
      <rgbColor rgb="FFFF0000"/>
      <rgbColor rgb="FF00FF00"/>
      <rgbColor rgb="FF0000FF"/>
      <rgbColor rgb="FFFFFF00"/>
      <rgbColor rgb="FFFF00FF"/>
      <rgbColor rgb="FF00FFFF"/>
      <rgbColor rgb="FF800000"/>
      <rgbColor rgb="FF1F6F2E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DDC5A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11111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USL2026" displayName="USL2026" ref="A1:BD726" headerRowCount="1" totalsRowCount="0" totalsRowShown="0">
  <autoFilter ref="A1:BD726"/>
  <tableColumns count="56">
    <tableColumn id="1" name="ID FotMob"/>
    <tableColumn id="2" name="Jugador"/>
    <tableColumn id="3" name="Club"/>
    <tableColumn id="4" name="Conferencia"/>
    <tableColumn id="5" name="Estado"/>
    <tableColumn id="6" name="Línea"/>
    <tableColumn id="7" name="Pos. principal"/>
    <tableColumn id="8" name="Posiciones FotMob"/>
    <tableColumn id="9" name="Dorsal"/>
    <tableColumn id="10" name="Edad"/>
    <tableColumn id="11" name="Nacimiento"/>
    <tableColumn id="12" name="Nacionalidad"/>
    <tableColumn id="13" name="Altura (cm)"/>
    <tableColumn id="14" name="Valor est. FotMob (€)"/>
    <tableColumn id="15" name="Lesionado"/>
    <tableColumn id="16" name="PJ"/>
    <tableColumn id="17" name="Minutos"/>
    <tableColumn id="18" name="Rating FotMob"/>
    <tableColumn id="19" name="MVP partido"/>
    <tableColumn id="20" name="Goles"/>
    <tableColumn id="21" name="Goles de penal"/>
    <tableColumn id="22" name="Asistencias"/>
    <tableColumn id="23" name="G+A"/>
    <tableColumn id="24" name="Goles /90"/>
    <tableColumn id="25" name="Tiros /90"/>
    <tableColumn id="26" name="Tiros a puerta /90"/>
    <tableColumn id="27" name="Conversión tiro %"/>
    <tableColumn id="28" name="Ocasiones claras falladas"/>
    <tableColumn id="29" name="Ocasiones creadas"/>
    <tableColumn id="30" name="Ocasiones creadas /90"/>
    <tableColumn id="31" name="Ocasiones claras creadas"/>
    <tableColumn id="32" name="Pases precisos /90"/>
    <tableColumn id="33" name="Precisión pase %"/>
    <tableColumn id="34" name="Balones largos precisos /90"/>
    <tableColumn id="35" name="Balón largo %"/>
    <tableColumn id="36" name="Regates exitosos /90"/>
    <tableColumn id="37" name="Regate %"/>
    <tableColumn id="38" name="Penales provocados"/>
    <tableColumn id="39" name="Faltas recibidas /90"/>
    <tableColumn id="40" name="Acciones defensivas /90"/>
    <tableColumn id="41" name="Entradas /90"/>
    <tableColumn id="42" name="Intercepciones /90"/>
    <tableColumn id="43" name="Despejes /90"/>
    <tableColumn id="44" name="Bloqueos /90"/>
    <tableColumn id="45" name="Recuperaciones /90"/>
    <tableColumn id="46" name="Recup. último tercio /90"/>
    <tableColumn id="47" name="Recup. medio campo /90"/>
    <tableColumn id="48" name="Faltas cometidas /90"/>
    <tableColumn id="49" name="Amarillas"/>
    <tableColumn id="50" name="Rojas"/>
    <tableColumn id="51" name="Penales cometidos"/>
    <tableColumn id="52" name="Porterías a cero"/>
    <tableColumn id="53" name="Atajadas /90"/>
    <tableColumn id="54" name="% Atajadas"/>
    <tableColumn id="55" name="Goles recibidos /90"/>
    <tableColumn id="56" name="Enlace FotMob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fotmob.com/players/912343/jassem-koleilat" TargetMode="External"/><Relationship Id="rId2" Type="http://schemas.openxmlformats.org/officeDocument/2006/relationships/hyperlink" Target="https://www.fotmob.com/players/1804493/trevor-mcmullen" TargetMode="External"/><Relationship Id="rId3" Type="http://schemas.openxmlformats.org/officeDocument/2006/relationships/hyperlink" Target="https://www.fotmob.com/players/1368657/dawson-mccartney" TargetMode="External"/><Relationship Id="rId4" Type="http://schemas.openxmlformats.org/officeDocument/2006/relationships/hyperlink" Target="https://www.fotmob.com/players/621906/phanuel-kavita" TargetMode="External"/><Relationship Id="rId5" Type="http://schemas.openxmlformats.org/officeDocument/2006/relationships/hyperlink" Target="https://www.fotmob.com/players/1262891/bryce-washington" TargetMode="External"/><Relationship Id="rId6" Type="http://schemas.openxmlformats.org/officeDocument/2006/relationships/hyperlink" Target="https://www.fotmob.com/players/1252148/nico-brown" TargetMode="External"/><Relationship Id="rId7" Type="http://schemas.openxmlformats.org/officeDocument/2006/relationships/hyperlink" Target="https://www.fotmob.com/players/1439803/hamady-diop" TargetMode="External"/><Relationship Id="rId8" Type="http://schemas.openxmlformats.org/officeDocument/2006/relationships/hyperlink" Target="https://www.fotmob.com/players/1624479/amir-daley" TargetMode="External"/><Relationship Id="rId9" Type="http://schemas.openxmlformats.org/officeDocument/2006/relationships/hyperlink" Target="https://www.fotmob.com/players/1059682/aj-paterson" TargetMode="External"/><Relationship Id="rId10" Type="http://schemas.openxmlformats.org/officeDocument/2006/relationships/hyperlink" Target="https://www.fotmob.com/players/1682447/seth-antwi" TargetMode="External"/><Relationship Id="rId11" Type="http://schemas.openxmlformats.org/officeDocument/2006/relationships/hyperlink" Target="https://www.fotmob.com/players/847603/samuel-shashoua" TargetMode="External"/><Relationship Id="rId12" Type="http://schemas.openxmlformats.org/officeDocument/2006/relationships/hyperlink" Target="https://www.fotmob.com/players/530617/tyler-pasher" TargetMode="External"/><Relationship Id="rId13" Type="http://schemas.openxmlformats.org/officeDocument/2006/relationships/hyperlink" Target="https://www.fotmob.com/players/932131/peter-lee-vassell" TargetMode="External"/><Relationship Id="rId14" Type="http://schemas.openxmlformats.org/officeDocument/2006/relationships/hyperlink" Target="https://www.fotmob.com/players/860928/samuel-mcillhatton" TargetMode="External"/><Relationship Id="rId15" Type="http://schemas.openxmlformats.org/officeDocument/2006/relationships/hyperlink" Target="https://www.fotmob.com/players/1431704/kadeem-cole" TargetMode="External"/><Relationship Id="rId16" Type="http://schemas.openxmlformats.org/officeDocument/2006/relationships/hyperlink" Target="https://www.fotmob.com/players/1190660/serge-ngoma" TargetMode="External"/><Relationship Id="rId17" Type="http://schemas.openxmlformats.org/officeDocument/2006/relationships/hyperlink" Target="https://www.fotmob.com/players/1637902/gevork-diarbian" TargetMode="External"/><Relationship Id="rId18" Type="http://schemas.openxmlformats.org/officeDocument/2006/relationships/hyperlink" Target="https://www.fotmob.com/players/1662187/sebastian-tregarthen" TargetMode="External"/><Relationship Id="rId19" Type="http://schemas.openxmlformats.org/officeDocument/2006/relationships/hyperlink" Target="https://www.fotmob.com/players/790332/ronaldo-damus" TargetMode="External"/><Relationship Id="rId20" Type="http://schemas.openxmlformats.org/officeDocument/2006/relationships/hyperlink" Target="https://www.fotmob.com/players/621524/romario-williams" TargetMode="External"/><Relationship Id="rId21" Type="http://schemas.openxmlformats.org/officeDocument/2006/relationships/hyperlink" Target="https://www.fotmob.com/players/622027/sebastian-saucedo" TargetMode="External"/><Relationship Id="rId22" Type="http://schemas.openxmlformats.org/officeDocument/2006/relationships/hyperlink" Target="https://www.fotmob.com/players/1780513/jonathan-hernandez" TargetMode="External"/><Relationship Id="rId23" Type="http://schemas.openxmlformats.org/officeDocument/2006/relationships/hyperlink" Target="https://www.fotmob.com/players/1781517/jaylen-lester" TargetMode="External"/><Relationship Id="rId24" Type="http://schemas.openxmlformats.org/officeDocument/2006/relationships/hyperlink" Target="https://www.fotmob.com/players/1171002/lukas-burns" TargetMode="External"/><Relationship Id="rId25" Type="http://schemas.openxmlformats.org/officeDocument/2006/relationships/hyperlink" Target="https://www.fotmob.com/players/928437/jackson-lee" TargetMode="External"/><Relationship Id="rId26" Type="http://schemas.openxmlformats.org/officeDocument/2006/relationships/hyperlink" Target="https://www.fotmob.com/players/936220/thomas-vancaeyezeele" TargetMode="External"/><Relationship Id="rId27" Type="http://schemas.openxmlformats.org/officeDocument/2006/relationships/hyperlink" Target="https://www.fotmob.com/players/1447526/gabriel-alves" TargetMode="External"/><Relationship Id="rId28" Type="http://schemas.openxmlformats.org/officeDocument/2006/relationships/hyperlink" Target="https://www.fotmob.com/players/1248123/vuk-latinovich" TargetMode="External"/><Relationship Id="rId29" Type="http://schemas.openxmlformats.org/officeDocument/2006/relationships/hyperlink" Target="https://www.fotmob.com/players/1935110/callum-frogson" TargetMode="External"/><Relationship Id="rId30" Type="http://schemas.openxmlformats.org/officeDocument/2006/relationships/hyperlink" Target="https://www.fotmob.com/players/388894/ryan-mclaughlin" TargetMode="External"/><Relationship Id="rId31" Type="http://schemas.openxmlformats.org/officeDocument/2006/relationships/hyperlink" Target="https://www.fotmob.com/players/1024286/rocco-romeo" TargetMode="External"/><Relationship Id="rId32" Type="http://schemas.openxmlformats.org/officeDocument/2006/relationships/hyperlink" Target="https://www.fotmob.com/players/1138224/so-nishikawa" TargetMode="External"/><Relationship Id="rId33" Type="http://schemas.openxmlformats.org/officeDocument/2006/relationships/hyperlink" Target="https://www.fotmob.com/players/1724754/taimu-okiyoshi" TargetMode="External"/><Relationship Id="rId34" Type="http://schemas.openxmlformats.org/officeDocument/2006/relationships/hyperlink" Target="https://www.fotmob.com/players/526485/tommy-mcnamara" TargetMode="External"/><Relationship Id="rId35" Type="http://schemas.openxmlformats.org/officeDocument/2006/relationships/hyperlink" Target="https://www.fotmob.com/players/1440048/malik-pinto" TargetMode="External"/><Relationship Id="rId36" Type="http://schemas.openxmlformats.org/officeDocument/2006/relationships/hyperlink" Target="https://www.fotmob.com/players/1170973/jaden-servania" TargetMode="External"/><Relationship Id="rId37" Type="http://schemas.openxmlformats.org/officeDocument/2006/relationships/hyperlink" Target="https://www.fotmob.com/players/1639626/peter-mangione" TargetMode="External"/><Relationship Id="rId38" Type="http://schemas.openxmlformats.org/officeDocument/2006/relationships/hyperlink" Target="https://www.fotmob.com/players/1460074/john-klein" TargetMode="External"/><Relationship Id="rId39" Type="http://schemas.openxmlformats.org/officeDocument/2006/relationships/hyperlink" Target="https://www.fotmob.com/players/924483/anthony-fontana" TargetMode="External"/><Relationship Id="rId40" Type="http://schemas.openxmlformats.org/officeDocument/2006/relationships/hyperlink" Target="https://www.fotmob.com/players/1455583/cj-olney-jr" TargetMode="External"/><Relationship Id="rId41" Type="http://schemas.openxmlformats.org/officeDocument/2006/relationships/hyperlink" Target="https://www.fotmob.com/players/1098593/juan-obregon" TargetMode="External"/><Relationship Id="rId42" Type="http://schemas.openxmlformats.org/officeDocument/2006/relationships/hyperlink" Target="https://www.fotmob.com/players/1346904/stefan-stojanovic" TargetMode="External"/><Relationship Id="rId43" Type="http://schemas.openxmlformats.org/officeDocument/2006/relationships/hyperlink" Target="https://www.fotmob.com/players/1469822/abdoulaye-kante" TargetMode="External"/><Relationship Id="rId44" Type="http://schemas.openxmlformats.org/officeDocument/2006/relationships/hyperlink" Target="https://www.fotmob.com/players/754584/pierre-da-silva" TargetMode="External"/><Relationship Id="rId45" Type="http://schemas.openxmlformats.org/officeDocument/2006/relationships/hyperlink" Target="https://www.fotmob.com/players/1076859/luis-zamudio" TargetMode="External"/><Relationship Id="rId46" Type="http://schemas.openxmlformats.org/officeDocument/2006/relationships/hyperlink" Target="https://www.fotmob.com/players/525646/john-berner" TargetMode="External"/><Relationship Id="rId47" Type="http://schemas.openxmlformats.org/officeDocument/2006/relationships/hyperlink" Target="https://www.fotmob.com/players/1368138/daniel-kuzemka" TargetMode="External"/><Relationship Id="rId48" Type="http://schemas.openxmlformats.org/officeDocument/2006/relationships/hyperlink" Target="https://www.fotmob.com/players/2221954/cohen-rigsby" TargetMode="External"/><Relationship Id="rId49" Type="http://schemas.openxmlformats.org/officeDocument/2006/relationships/hyperlink" Target="https://www.fotmob.com/players/1440047/joey-akpunonu" TargetMode="External"/><Relationship Id="rId50" Type="http://schemas.openxmlformats.org/officeDocument/2006/relationships/hyperlink" Target="https://www.fotmob.com/players/924435/graham-smith" TargetMode="External"/><Relationship Id="rId51" Type="http://schemas.openxmlformats.org/officeDocument/2006/relationships/hyperlink" Target="https://www.fotmob.com/players/1623839/nathan-messer" TargetMode="External"/><Relationship Id="rId52" Type="http://schemas.openxmlformats.org/officeDocument/2006/relationships/hyperlink" Target="https://www.fotmob.com/players/1615774/sean-suber" TargetMode="External"/><Relationship Id="rId53" Type="http://schemas.openxmlformats.org/officeDocument/2006/relationships/hyperlink" Target="https://www.fotmob.com/players/844926/douglas-martinez" TargetMode="External"/><Relationship Id="rId54" Type="http://schemas.openxmlformats.org/officeDocument/2006/relationships/hyperlink" Target="https://www.fotmob.com/players/1448116/langston-blackstock" TargetMode="External"/><Relationship Id="rId55" Type="http://schemas.openxmlformats.org/officeDocument/2006/relationships/hyperlink" Target="https://www.fotmob.com/players/1781459/kruz-held" TargetMode="External"/><Relationship Id="rId56" Type="http://schemas.openxmlformats.org/officeDocument/2006/relationships/hyperlink" Target="https://www.fotmob.com/players/1172904/emilio-ycaza" TargetMode="External"/><Relationship Id="rId57" Type="http://schemas.openxmlformats.org/officeDocument/2006/relationships/hyperlink" Target="https://www.fotmob.com/players/1902106/kirill-pakhomov" TargetMode="External"/><Relationship Id="rId58" Type="http://schemas.openxmlformats.org/officeDocument/2006/relationships/hyperlink" Target="https://www.fotmob.com/players/938954/laurent-kissiedou" TargetMode="External"/><Relationship Id="rId59" Type="http://schemas.openxmlformats.org/officeDocument/2006/relationships/hyperlink" Target="https://www.fotmob.com/players/1252861/nanan-houssou" TargetMode="External"/><Relationship Id="rId60" Type="http://schemas.openxmlformats.org/officeDocument/2006/relationships/hyperlink" Target="https://www.fotmob.com/players/877678/chris-allan" TargetMode="External"/><Relationship Id="rId61" Type="http://schemas.openxmlformats.org/officeDocument/2006/relationships/hyperlink" Target="https://www.fotmob.com/players/1921633/jack-wayne" TargetMode="External"/><Relationship Id="rId62" Type="http://schemas.openxmlformats.org/officeDocument/2006/relationships/hyperlink" Target="https://www.fotmob.com/players/2205532/briggs-gwozdo" TargetMode="External"/><Relationship Id="rId63" Type="http://schemas.openxmlformats.org/officeDocument/2006/relationships/hyperlink" Target="https://www.fotmob.com/players/1124831/jeremy-kelly" TargetMode="External"/><Relationship Id="rId64" Type="http://schemas.openxmlformats.org/officeDocument/2006/relationships/hyperlink" Target="https://www.fotmob.com/players/1166273/miguel-berry" TargetMode="External"/><Relationship Id="rId65" Type="http://schemas.openxmlformats.org/officeDocument/2006/relationships/hyperlink" Target="https://www.fotmob.com/players/919527/maalique-foster" TargetMode="External"/><Relationship Id="rId66" Type="http://schemas.openxmlformats.org/officeDocument/2006/relationships/hyperlink" Target="https://www.fotmob.com/players/1666357/colton-swan" TargetMode="External"/><Relationship Id="rId67" Type="http://schemas.openxmlformats.org/officeDocument/2006/relationships/hyperlink" Target="https://www.fotmob.com/players/1047604/wilmer-cabrera" TargetMode="External"/><Relationship Id="rId68" Type="http://schemas.openxmlformats.org/officeDocument/2006/relationships/hyperlink" Target="https://www.fotmob.com/players/1518693/alec-hughes" TargetMode="External"/><Relationship Id="rId69" Type="http://schemas.openxmlformats.org/officeDocument/2006/relationships/hyperlink" Target="https://www.fotmob.com/players/2221955/camilo-sanchez" TargetMode="External"/><Relationship Id="rId70" Type="http://schemas.openxmlformats.org/officeDocument/2006/relationships/hyperlink" Target="https://www.fotmob.com/players/1257960/colin-shutler" TargetMode="External"/><Relationship Id="rId71" Type="http://schemas.openxmlformats.org/officeDocument/2006/relationships/hyperlink" Target="https://www.fotmob.com/players/1082233/christian-herrera" TargetMode="External"/><Relationship Id="rId72" Type="http://schemas.openxmlformats.org/officeDocument/2006/relationships/hyperlink" Target="https://www.fotmob.com/players/2096676/samuel-jones" TargetMode="External"/><Relationship Id="rId73" Type="http://schemas.openxmlformats.org/officeDocument/2006/relationships/hyperlink" Target="https://www.fotmob.com/players/1302830/talen-maples" TargetMode="External"/><Relationship Id="rId74" Type="http://schemas.openxmlformats.org/officeDocument/2006/relationships/hyperlink" Target="https://www.fotmob.com/players/1450959/aidan-rocha" TargetMode="External"/><Relationship Id="rId75" Type="http://schemas.openxmlformats.org/officeDocument/2006/relationships/hyperlink" Target="https://www.fotmob.com/players/945641/matt-mahoney" TargetMode="External"/><Relationship Id="rId76" Type="http://schemas.openxmlformats.org/officeDocument/2006/relationships/hyperlink" Target="https://www.fotmob.com/players/802493/patrick-burner" TargetMode="External"/><Relationship Id="rId77" Type="http://schemas.openxmlformats.org/officeDocument/2006/relationships/hyperlink" Target="https://www.fotmob.com/players/1286428/garven-metusala" TargetMode="External"/><Relationship Id="rId78" Type="http://schemas.openxmlformats.org/officeDocument/2006/relationships/hyperlink" Target="https://www.fotmob.com/players/1341149/isaiah-foster" TargetMode="External"/><Relationship Id="rId79" Type="http://schemas.openxmlformats.org/officeDocument/2006/relationships/hyperlink" Target="https://www.fotmob.com/players/649744/duke-lacroix" TargetMode="External"/><Relationship Id="rId80" Type="http://schemas.openxmlformats.org/officeDocument/2006/relationships/hyperlink" Target="https://www.fotmob.com/players/1899033/jabari-de-coteau" TargetMode="External"/><Relationship Id="rId81" Type="http://schemas.openxmlformats.org/officeDocument/2006/relationships/hyperlink" Target="https://www.fotmob.com/players/1520240/brennan-creek" TargetMode="External"/><Relationship Id="rId82" Type="http://schemas.openxmlformats.org/officeDocument/2006/relationships/hyperlink" Target="https://www.fotmob.com/players/1026083/adrien-perez" TargetMode="External"/><Relationship Id="rId83" Type="http://schemas.openxmlformats.org/officeDocument/2006/relationships/hyperlink" Target="https://www.fotmob.com/players/1269365/sam-williams" TargetMode="External"/><Relationship Id="rId84" Type="http://schemas.openxmlformats.org/officeDocument/2006/relationships/hyperlink" Target="https://www.fotmob.com/players/1252846/frank-daroma" TargetMode="External"/><Relationship Id="rId85" Type="http://schemas.openxmlformats.org/officeDocument/2006/relationships/hyperlink" Target="https://www.fotmob.com/players/671835/speedy-williams" TargetMode="External"/><Relationship Id="rId86" Type="http://schemas.openxmlformats.org/officeDocument/2006/relationships/hyperlink" Target="https://www.fotmob.com/players/1252220/steven-echevarria" TargetMode="External"/><Relationship Id="rId87" Type="http://schemas.openxmlformats.org/officeDocument/2006/relationships/hyperlink" Target="https://www.fotmob.com/players/1058359/tyreek-magee" TargetMode="External"/><Relationship Id="rId88" Type="http://schemas.openxmlformats.org/officeDocument/2006/relationships/hyperlink" Target="https://www.fotmob.com/players/1921662/dane-valenti" TargetMode="External"/><Relationship Id="rId89" Type="http://schemas.openxmlformats.org/officeDocument/2006/relationships/hyperlink" Target="https://www.fotmob.com/players/940300/khori-bennett" TargetMode="External"/><Relationship Id="rId90" Type="http://schemas.openxmlformats.org/officeDocument/2006/relationships/hyperlink" Target="https://www.fotmob.com/players/1886516/sadam-masereka" TargetMode="External"/><Relationship Id="rId91" Type="http://schemas.openxmlformats.org/officeDocument/2006/relationships/hyperlink" Target="https://www.fotmob.com/players/1048898/juan-tejada" TargetMode="External"/><Relationship Id="rId92" Type="http://schemas.openxmlformats.org/officeDocument/2006/relationships/hyperlink" Target="https://www.fotmob.com/players/538520/jonas-fjeldberg" TargetMode="External"/><Relationship Id="rId93" Type="http://schemas.openxmlformats.org/officeDocument/2006/relationships/hyperlink" Target="https://www.fotmob.com/players/1348316/yosuke-hanya" TargetMode="External"/><Relationship Id="rId94" Type="http://schemas.openxmlformats.org/officeDocument/2006/relationships/hyperlink" Target="https://www.fotmob.com/players/1408628/bryce-jamison" TargetMode="External"/><Relationship Id="rId95" Type="http://schemas.openxmlformats.org/officeDocument/2006/relationships/hyperlink" Target="https://www.fotmob.com/players/1079287/elvis-amoh" TargetMode="External"/><Relationship Id="rId96" Type="http://schemas.openxmlformats.org/officeDocument/2006/relationships/hyperlink" Target="https://www.fotmob.com/players/1946334/griffin-price" TargetMode="External"/><Relationship Id="rId97" Type="http://schemas.openxmlformats.org/officeDocument/2006/relationships/hyperlink" Target="https://www.fotmob.com/players/2119829/jesus-sandoval" TargetMode="External"/><Relationship Id="rId98" Type="http://schemas.openxmlformats.org/officeDocument/2006/relationships/hyperlink" Target="https://www.fotmob.com/players/1928364/rashed-jahan" TargetMode="External"/><Relationship Id="rId99" Type="http://schemas.openxmlformats.org/officeDocument/2006/relationships/hyperlink" Target="https://www.fotmob.com/players/1357579/carlos-herrera" TargetMode="External"/><Relationship Id="rId100" Type="http://schemas.openxmlformats.org/officeDocument/2006/relationships/hyperlink" Target="https://www.fotmob.com/players/1298994/carlos-saldana" TargetMode="External"/><Relationship Id="rId101" Type="http://schemas.openxmlformats.org/officeDocument/2006/relationships/hyperlink" Target="https://www.fotmob.com/players/649957/tatenda-mkuruva" TargetMode="External"/><Relationship Id="rId102" Type="http://schemas.openxmlformats.org/officeDocument/2006/relationships/hyperlink" Target="https://www.fotmob.com/players/1175165/devon-amoo-mensah" TargetMode="External"/><Relationship Id="rId103" Type="http://schemas.openxmlformats.org/officeDocument/2006/relationships/hyperlink" Target="https://www.fotmob.com/players/1644456/haruki-yamazaki" TargetMode="External"/><Relationship Id="rId104" Type="http://schemas.openxmlformats.org/officeDocument/2006/relationships/hyperlink" Target="https://www.fotmob.com/players/1026047/callum-montgomery" TargetMode="External"/><Relationship Id="rId105" Type="http://schemas.openxmlformats.org/officeDocument/2006/relationships/hyperlink" Target="https://www.fotmob.com/players/1611186/tommy-silva" TargetMode="External"/><Relationship Id="rId106" Type="http://schemas.openxmlformats.org/officeDocument/2006/relationships/hyperlink" Target="https://www.fotmob.com/players/1172869/aedan-stanley" TargetMode="External"/><Relationship Id="rId107" Type="http://schemas.openxmlformats.org/officeDocument/2006/relationships/hyperlink" Target="https://www.fotmob.com/players/1246586/rio-hope-gund" TargetMode="External"/><Relationship Id="rId108" Type="http://schemas.openxmlformats.org/officeDocument/2006/relationships/hyperlink" Target="https://www.fotmob.com/players/1081951/rhys-williams" TargetMode="External"/><Relationship Id="rId109" Type="http://schemas.openxmlformats.org/officeDocument/2006/relationships/hyperlink" Target="https://www.fotmob.com/players/1175374/michael-bryant" TargetMode="External"/><Relationship Id="rId110" Type="http://schemas.openxmlformats.org/officeDocument/2006/relationships/hyperlink" Target="https://www.fotmob.com/players/1079029/kobe-hernandez-foster" TargetMode="External"/><Relationship Id="rId111" Type="http://schemas.openxmlformats.org/officeDocument/2006/relationships/hyperlink" Target="https://www.fotmob.com/players/1170736/abdoulaye-diop" TargetMode="External"/><Relationship Id="rId112" Type="http://schemas.openxmlformats.org/officeDocument/2006/relationships/hyperlink" Target="https://www.fotmob.com/players/942418/maxi-rodriguez" TargetMode="External"/><Relationship Id="rId113" Type="http://schemas.openxmlformats.org/officeDocument/2006/relationships/hyperlink" Target="https://www.fotmob.com/players/157390/ryan-williams" TargetMode="External"/><Relationship Id="rId114" Type="http://schemas.openxmlformats.org/officeDocument/2006/relationships/hyperlink" Target="https://www.fotmob.com/players/1175406/connor-rutz" TargetMode="External"/><Relationship Id="rId115" Type="http://schemas.openxmlformats.org/officeDocument/2006/relationships/hyperlink" Target="https://www.fotmob.com/players/1783978/bilal-obeid" TargetMode="External"/><Relationship Id="rId116" Type="http://schemas.openxmlformats.org/officeDocument/2006/relationships/hyperlink" Target="https://www.fotmob.com/players/559158/darren-smith" TargetMode="External"/><Relationship Id="rId117" Type="http://schemas.openxmlformats.org/officeDocument/2006/relationships/hyperlink" Target="https://www.fotmob.com/players/1042558/ates-diouf" TargetMode="External"/><Relationship Id="rId118" Type="http://schemas.openxmlformats.org/officeDocument/2006/relationships/hyperlink" Target="https://www.fotmob.com/players/1060350/jeciel-cedeno" TargetMode="External"/><Relationship Id="rId119" Type="http://schemas.openxmlformats.org/officeDocument/2006/relationships/hyperlink" Target="https://www.fotmob.com/players/749485/ben-morris" TargetMode="External"/><Relationship Id="rId120" Type="http://schemas.openxmlformats.org/officeDocument/2006/relationships/hyperlink" Target="https://www.fotmob.com/players/1457710/alexander-dalou" TargetMode="External"/><Relationship Id="rId121" Type="http://schemas.openxmlformats.org/officeDocument/2006/relationships/hyperlink" Target="https://www.fotmob.com/players/799488/chisom-egbuchulam" TargetMode="External"/><Relationship Id="rId122" Type="http://schemas.openxmlformats.org/officeDocument/2006/relationships/hyperlink" Target="https://www.fotmob.com/players/1057344/rafa-mentzingen" TargetMode="External"/><Relationship Id="rId123" Type="http://schemas.openxmlformats.org/officeDocument/2006/relationships/hyperlink" Target="https://www.fotmob.com/players/1042922/preston-tabort-etaka" TargetMode="External"/><Relationship Id="rId124" Type="http://schemas.openxmlformats.org/officeDocument/2006/relationships/hyperlink" Target="https://www.fotmob.com/players/1083799/kian-williams" TargetMode="External"/><Relationship Id="rId125" Type="http://schemas.openxmlformats.org/officeDocument/2006/relationships/hyperlink" Target="https://www.fotmob.com/players/1959674/cheikhou-niang" TargetMode="External"/><Relationship Id="rId126" Type="http://schemas.openxmlformats.org/officeDocument/2006/relationships/hyperlink" Target="https://www.fotmob.com/players/848040/abraham-romero" TargetMode="External"/><Relationship Id="rId127" Type="http://schemas.openxmlformats.org/officeDocument/2006/relationships/hyperlink" Target="https://www.fotmob.com/players/1172893/sebastian-mora-mora" TargetMode="External"/><Relationship Id="rId128" Type="http://schemas.openxmlformats.org/officeDocument/2006/relationships/hyperlink" Target="https://www.fotmob.com/players/1735919/pedro" TargetMode="External"/><Relationship Id="rId129" Type="http://schemas.openxmlformats.org/officeDocument/2006/relationships/hyperlink" Target="https://www.fotmob.com/players/1172158/trace-alphin" TargetMode="External"/><Relationship Id="rId130" Type="http://schemas.openxmlformats.org/officeDocument/2006/relationships/hyperlink" Target="https://www.fotmob.com/players/731364/tony-alfaro" TargetMode="External"/><Relationship Id="rId131" Type="http://schemas.openxmlformats.org/officeDocument/2006/relationships/hyperlink" Target="https://www.fotmob.com/players/890403/kofi-twumasi" TargetMode="External"/><Relationship Id="rId132" Type="http://schemas.openxmlformats.org/officeDocument/2006/relationships/hyperlink" Target="https://www.fotmob.com/players/418257/arturo-ortiz" TargetMode="External"/><Relationship Id="rId133" Type="http://schemas.openxmlformats.org/officeDocument/2006/relationships/hyperlink" Target="https://www.fotmob.com/players/1259935/ricky-ruiz" TargetMode="External"/><Relationship Id="rId134" Type="http://schemas.openxmlformats.org/officeDocument/2006/relationships/hyperlink" Target="https://www.fotmob.com/players/1250345/alvaro-quezada" TargetMode="External"/><Relationship Id="rId135" Type="http://schemas.openxmlformats.org/officeDocument/2006/relationships/hyperlink" Target="https://www.fotmob.com/players/1455534/noah-dollenmayer" TargetMode="External"/><Relationship Id="rId136" Type="http://schemas.openxmlformats.org/officeDocument/2006/relationships/hyperlink" Target="https://www.fotmob.com/players/1240356/nicolas-cardona" TargetMode="External"/><Relationship Id="rId137" Type="http://schemas.openxmlformats.org/officeDocument/2006/relationships/hyperlink" Target="https://www.fotmob.com/players/1724673/kenneth-hoban" TargetMode="External"/><Relationship Id="rId138" Type="http://schemas.openxmlformats.org/officeDocument/2006/relationships/hyperlink" Target="https://www.fotmob.com/players/1107287/carl-sainte" TargetMode="External"/><Relationship Id="rId139" Type="http://schemas.openxmlformats.org/officeDocument/2006/relationships/hyperlink" Target="https://www.fotmob.com/players/1078650/guillermo-diaz" TargetMode="External"/><Relationship Id="rId140" Type="http://schemas.openxmlformats.org/officeDocument/2006/relationships/hyperlink" Target="https://www.fotmob.com/players/1793923/joseluis-villagomez" TargetMode="External"/><Relationship Id="rId141" Type="http://schemas.openxmlformats.org/officeDocument/2006/relationships/hyperlink" Target="https://www.fotmob.com/players/805770/eric-calvillo" TargetMode="External"/><Relationship Id="rId142" Type="http://schemas.openxmlformats.org/officeDocument/2006/relationships/hyperlink" Target="https://www.fotmob.com/players/936528/alex-mendez" TargetMode="External"/><Relationship Id="rId143" Type="http://schemas.openxmlformats.org/officeDocument/2006/relationships/hyperlink" Target="https://www.fotmob.com/players/1059463/robert-coronado" TargetMode="External"/><Relationship Id="rId144" Type="http://schemas.openxmlformats.org/officeDocument/2006/relationships/hyperlink" Target="https://www.fotmob.com/players/1170999/gabi-torres" TargetMode="External"/><Relationship Id="rId145" Type="http://schemas.openxmlformats.org/officeDocument/2006/relationships/hyperlink" Target="https://www.fotmob.com/players/1448105/daniel-gomez" TargetMode="External"/><Relationship Id="rId146" Type="http://schemas.openxmlformats.org/officeDocument/2006/relationships/hyperlink" Target="https://www.fotmob.com/players/2026834/abdiel-guzman" TargetMode="External"/><Relationship Id="rId147" Type="http://schemas.openxmlformats.org/officeDocument/2006/relationships/hyperlink" Target="https://www.fotmob.com/players/2026835/xzavier-rede" TargetMode="External"/><Relationship Id="rId148" Type="http://schemas.openxmlformats.org/officeDocument/2006/relationships/hyperlink" Target="https://www.fotmob.com/players/570980/rubio-rubin" TargetMode="External"/><Relationship Id="rId149" Type="http://schemas.openxmlformats.org/officeDocument/2006/relationships/hyperlink" Target="https://www.fotmob.com/players/431435/amando-moreno" TargetMode="External"/><Relationship Id="rId150" Type="http://schemas.openxmlformats.org/officeDocument/2006/relationships/hyperlink" Target="https://www.fotmob.com/players/1078028/roberto-avila" TargetMode="External"/><Relationship Id="rId151" Type="http://schemas.openxmlformats.org/officeDocument/2006/relationships/hyperlink" Target="https://www.fotmob.com/players/1621324/jimmy-farkarlun" TargetMode="External"/><Relationship Id="rId152" Type="http://schemas.openxmlformats.org/officeDocument/2006/relationships/hyperlink" Target="https://www.fotmob.com/players/1358427/diego-abitia" TargetMode="External"/><Relationship Id="rId153" Type="http://schemas.openxmlformats.org/officeDocument/2006/relationships/hyperlink" Target="https://www.fotmob.com/players/1724677/omar-mora" TargetMode="External"/><Relationship Id="rId154" Type="http://schemas.openxmlformats.org/officeDocument/2006/relationships/hyperlink" Target="https://www.fotmob.com/players/1078226/zyen-jones" TargetMode="External"/><Relationship Id="rId155" Type="http://schemas.openxmlformats.org/officeDocument/2006/relationships/hyperlink" Target="https://www.fotmob.com/players/2297330/cristobal-fernandez" TargetMode="External"/><Relationship Id="rId156" Type="http://schemas.openxmlformats.org/officeDocument/2006/relationships/hyperlink" Target="https://www.fotmob.com/players/1381135/dane-jacomen" TargetMode="External"/><Relationship Id="rId157" Type="http://schemas.openxmlformats.org/officeDocument/2006/relationships/hyperlink" Target="https://www.fotmob.com/players/638991/alexander-tambakis" TargetMode="External"/><Relationship Id="rId158" Type="http://schemas.openxmlformats.org/officeDocument/2006/relationships/hyperlink" Target="https://www.fotmob.com/players/2090272/noah-adams" TargetMode="External"/><Relationship Id="rId159" Type="http://schemas.openxmlformats.org/officeDocument/2006/relationships/hyperlink" Target="https://www.fotmob.com/players/1712469/ian" TargetMode="External"/><Relationship Id="rId160" Type="http://schemas.openxmlformats.org/officeDocument/2006/relationships/hyperlink" Target="https://www.fotmob.com/players/923977/lucas-stauffer" TargetMode="External"/><Relationship Id="rId161" Type="http://schemas.openxmlformats.org/officeDocument/2006/relationships/hyperlink" Target="https://www.fotmob.com/players/860075/lamar-batista" TargetMode="External"/><Relationship Id="rId162" Type="http://schemas.openxmlformats.org/officeDocument/2006/relationships/hyperlink" Target="https://www.fotmob.com/players/1172998/abdoulaye-cissoko" TargetMode="External"/><Relationship Id="rId163" Type="http://schemas.openxmlformats.org/officeDocument/2006/relationships/hyperlink" Target="https://www.fotmob.com/players/1355679/delentz-pierre" TargetMode="External"/><Relationship Id="rId164" Type="http://schemas.openxmlformats.org/officeDocument/2006/relationships/hyperlink" Target="https://www.fotmob.com/players/1626133/joel-sangwa" TargetMode="External"/><Relationship Id="rId165" Type="http://schemas.openxmlformats.org/officeDocument/2006/relationships/hyperlink" Target="https://www.fotmob.com/players/793911/harvey-st-clair" TargetMode="External"/><Relationship Id="rId166" Type="http://schemas.openxmlformats.org/officeDocument/2006/relationships/hyperlink" Target="https://www.fotmob.com/players/1913765/alonzo-clarke" TargetMode="External"/><Relationship Id="rId167" Type="http://schemas.openxmlformats.org/officeDocument/2006/relationships/hyperlink" Target="https://www.fotmob.com/players/1715116/wilson-eisner" TargetMode="External"/><Relationship Id="rId168" Type="http://schemas.openxmlformats.org/officeDocument/2006/relationships/hyperlink" Target="https://www.fotmob.com/players/1613722/jeorgio-kocevski" TargetMode="External"/><Relationship Id="rId169" Type="http://schemas.openxmlformats.org/officeDocument/2006/relationships/hyperlink" Target="https://www.fotmob.com/players/851104/jamie-webber" TargetMode="External"/><Relationship Id="rId170" Type="http://schemas.openxmlformats.org/officeDocument/2006/relationships/hyperlink" Target="https://www.fotmob.com/players/1171033/bailey-sparks" TargetMode="External"/><Relationship Id="rId171" Type="http://schemas.openxmlformats.org/officeDocument/2006/relationships/hyperlink" Target="https://www.fotmob.com/players/1207848/giordano-colli" TargetMode="External"/><Relationship Id="rId172" Type="http://schemas.openxmlformats.org/officeDocument/2006/relationships/hyperlink" Target="https://www.fotmob.com/players/1252869/owen-damm" TargetMode="External"/><Relationship Id="rId173" Type="http://schemas.openxmlformats.org/officeDocument/2006/relationships/hyperlink" Target="https://www.fotmob.com/players/1171983/grant-robinson" TargetMode="External"/><Relationship Id="rId174" Type="http://schemas.openxmlformats.org/officeDocument/2006/relationships/hyperlink" Target="https://www.fotmob.com/players/1364155/stefan-lukic" TargetMode="External"/><Relationship Id="rId175" Type="http://schemas.openxmlformats.org/officeDocument/2006/relationships/hyperlink" Target="https://www.fotmob.com/players/1356036/boubacar-diallo" TargetMode="External"/><Relationship Id="rId176" Type="http://schemas.openxmlformats.org/officeDocument/2006/relationships/hyperlink" Target="https://www.fotmob.com/players/1928446/zion-siranga" TargetMode="External"/><Relationship Id="rId177" Type="http://schemas.openxmlformats.org/officeDocument/2006/relationships/hyperlink" Target="https://www.fotmob.com/players/653590/marcos-cerato" TargetMode="External"/><Relationship Id="rId178" Type="http://schemas.openxmlformats.org/officeDocument/2006/relationships/hyperlink" Target="https://www.fotmob.com/players/1269658/arquimides-ordonez" TargetMode="External"/><Relationship Id="rId179" Type="http://schemas.openxmlformats.org/officeDocument/2006/relationships/hyperlink" Target="https://www.fotmob.com/players/1060334/logan-dorsey" TargetMode="External"/><Relationship Id="rId180" Type="http://schemas.openxmlformats.org/officeDocument/2006/relationships/hyperlink" Target="https://www.fotmob.com/players/1244942/kalil-elmedkhar" TargetMode="External"/><Relationship Id="rId181" Type="http://schemas.openxmlformats.org/officeDocument/2006/relationships/hyperlink" Target="https://www.fotmob.com/players/1259810/remi-cabral" TargetMode="External"/><Relationship Id="rId182" Type="http://schemas.openxmlformats.org/officeDocument/2006/relationships/hyperlink" Target="https://www.fotmob.com/players/1255515/will-wilson" TargetMode="External"/><Relationship Id="rId183" Type="http://schemas.openxmlformats.org/officeDocument/2006/relationships/hyperlink" Target="https://www.fotmob.com/players/1343607/dylan-borczak" TargetMode="External"/><Relationship Id="rId184" Type="http://schemas.openxmlformats.org/officeDocument/2006/relationships/hyperlink" Target="https://www.fotmob.com/players/1175236/antony-siaha" TargetMode="External"/><Relationship Id="rId185" Type="http://schemas.openxmlformats.org/officeDocument/2006/relationships/hyperlink" Target="https://www.fotmob.com/players/1918809/enzo-balsini-de-gracia-e-carvalho" TargetMode="External"/><Relationship Id="rId186" Type="http://schemas.openxmlformats.org/officeDocument/2006/relationships/hyperlink" Target="https://www.fotmob.com/players/888046/jordan-scarlett" TargetMode="External"/><Relationship Id="rId187" Type="http://schemas.openxmlformats.org/officeDocument/2006/relationships/hyperlink" Target="https://www.fotmob.com/players/1398374/britton-fischer" TargetMode="External"/><Relationship Id="rId188" Type="http://schemas.openxmlformats.org/officeDocument/2006/relationships/hyperlink" Target="https://www.fotmob.com/players/502403/adrian-diz" TargetMode="External"/><Relationship Id="rId189" Type="http://schemas.openxmlformats.org/officeDocument/2006/relationships/hyperlink" Target="https://www.fotmob.com/players/1341110/arturo-ordonez" TargetMode="External"/><Relationship Id="rId190" Type="http://schemas.openxmlformats.org/officeDocument/2006/relationships/hyperlink" Target="https://www.fotmob.com/players/1724681/tj-presthus" TargetMode="External"/><Relationship Id="rId191" Type="http://schemas.openxmlformats.org/officeDocument/2006/relationships/hyperlink" Target="https://www.fotmob.com/players/889478/matt-real" TargetMode="External"/><Relationship Id="rId192" Type="http://schemas.openxmlformats.org/officeDocument/2006/relationships/hyperlink" Target="https://www.fotmob.com/players/1346115/junior-moreira" TargetMode="External"/><Relationship Id="rId193" Type="http://schemas.openxmlformats.org/officeDocument/2006/relationships/hyperlink" Target="https://www.fotmob.com/players/1037271/sebastian-anderson" TargetMode="External"/><Relationship Id="rId194" Type="http://schemas.openxmlformats.org/officeDocument/2006/relationships/hyperlink" Target="https://www.fotmob.com/players/1072821/barry-coffey" TargetMode="External"/><Relationship Id="rId195" Type="http://schemas.openxmlformats.org/officeDocument/2006/relationships/hyperlink" Target="https://www.fotmob.com/players/1141408/beverly-makangila" TargetMode="External"/><Relationship Id="rId196" Type="http://schemas.openxmlformats.org/officeDocument/2006/relationships/hyperlink" Target="https://www.fotmob.com/players/1170740/baboucarr-njie" TargetMode="External"/><Relationship Id="rId197" Type="http://schemas.openxmlformats.org/officeDocument/2006/relationships/hyperlink" Target="https://www.fotmob.com/players/848653/ben-mines" TargetMode="External"/><Relationship Id="rId198" Type="http://schemas.openxmlformats.org/officeDocument/2006/relationships/hyperlink" Target="https://www.fotmob.com/players/680789/christos-hadjipaschalis" TargetMode="External"/><Relationship Id="rId199" Type="http://schemas.openxmlformats.org/officeDocument/2006/relationships/hyperlink" Target="https://www.fotmob.com/players/1933135/galen-flynn" TargetMode="External"/><Relationship Id="rId200" Type="http://schemas.openxmlformats.org/officeDocument/2006/relationships/hyperlink" Target="https://www.fotmob.com/players/1336818/samuel-careaga" TargetMode="External"/><Relationship Id="rId201" Type="http://schemas.openxmlformats.org/officeDocument/2006/relationships/hyperlink" Target="https://www.fotmob.com/players/2189244/oscar-pearman" TargetMode="External"/><Relationship Id="rId202" Type="http://schemas.openxmlformats.org/officeDocument/2006/relationships/hyperlink" Target="https://www.fotmob.com/players/2189245/sean-canada" TargetMode="External"/><Relationship Id="rId203" Type="http://schemas.openxmlformats.org/officeDocument/2006/relationships/hyperlink" Target="https://www.fotmob.com/players/791668/augustine-williams" TargetMode="External"/><Relationship Id="rId204" Type="http://schemas.openxmlformats.org/officeDocument/2006/relationships/hyperlink" Target="https://www.fotmob.com/players/941144/michee-ngalina" TargetMode="External"/><Relationship Id="rId205" Type="http://schemas.openxmlformats.org/officeDocument/2006/relationships/hyperlink" Target="https://www.fotmob.com/players/1230428/emmanuel-samadia" TargetMode="External"/><Relationship Id="rId206" Type="http://schemas.openxmlformats.org/officeDocument/2006/relationships/hyperlink" Target="https://www.fotmob.com/players/1399546/sadat-anaku" TargetMode="External"/><Relationship Id="rId207" Type="http://schemas.openxmlformats.org/officeDocument/2006/relationships/hyperlink" Target="https://www.fotmob.com/players/1520743/michael-adedokun" TargetMode="External"/><Relationship Id="rId208" Type="http://schemas.openxmlformats.org/officeDocument/2006/relationships/hyperlink" Target="https://www.fotmob.com/players/1724684/adewale-obalola" TargetMode="External"/><Relationship Id="rId209" Type="http://schemas.openxmlformats.org/officeDocument/2006/relationships/hyperlink" Target="https://www.fotmob.com/players/1946325/abdullah-taofeek" TargetMode="External"/><Relationship Id="rId210" Type="http://schemas.openxmlformats.org/officeDocument/2006/relationships/hyperlink" Target="https://www.fotmob.com/players/1732545/spencer-gordon" TargetMode="External"/><Relationship Id="rId211" Type="http://schemas.openxmlformats.org/officeDocument/2006/relationships/hyperlink" Target="https://www.fotmob.com/players/924432/eric-dick" TargetMode="External"/><Relationship Id="rId212" Type="http://schemas.openxmlformats.org/officeDocument/2006/relationships/hyperlink" Target="https://www.fotmob.com/players/463910/reice-charles-cook" TargetMode="External"/><Relationship Id="rId213" Type="http://schemas.openxmlformats.org/officeDocument/2006/relationships/hyperlink" Target="https://www.fotmob.com/players/1724699/ryan-hunsucker" TargetMode="External"/><Relationship Id="rId214" Type="http://schemas.openxmlformats.org/officeDocument/2006/relationships/hyperlink" Target="https://www.fotmob.com/players/639374/aodhan-quinn" TargetMode="External"/><Relationship Id="rId215" Type="http://schemas.openxmlformats.org/officeDocument/2006/relationships/hyperlink" Target="https://www.fotmob.com/players/783608/paco-craig" TargetMode="External"/><Relationship Id="rId216" Type="http://schemas.openxmlformats.org/officeDocument/2006/relationships/hyperlink" Target="https://www.fotmob.com/players/1347962/anthony-herbert" TargetMode="External"/><Relationship Id="rId217" Type="http://schemas.openxmlformats.org/officeDocument/2006/relationships/hyperlink" Target="https://www.fotmob.com/players/1256231/joe-hafferty" TargetMode="External"/><Relationship Id="rId218" Type="http://schemas.openxmlformats.org/officeDocument/2006/relationships/hyperlink" Target="https://www.fotmob.com/players/1793931/makel-rasheed" TargetMode="External"/><Relationship Id="rId219" Type="http://schemas.openxmlformats.org/officeDocument/2006/relationships/hyperlink" Target="https://www.fotmob.com/players/1044783/alejandro-mitrano" TargetMode="External"/><Relationship Id="rId220" Type="http://schemas.openxmlformats.org/officeDocument/2006/relationships/hyperlink" Target="https://www.fotmob.com/players/1244947/nabilai-kibunguchy" TargetMode="External"/><Relationship Id="rId221" Type="http://schemas.openxmlformats.org/officeDocument/2006/relationships/hyperlink" Target="https://www.fotmob.com/players/516000/hayden-white" TargetMode="External"/><Relationship Id="rId222" Type="http://schemas.openxmlformats.org/officeDocument/2006/relationships/hyperlink" Target="https://www.fotmob.com/players/1627007/hesron-barry" TargetMode="External"/><Relationship Id="rId223" Type="http://schemas.openxmlformats.org/officeDocument/2006/relationships/hyperlink" Target="https://www.fotmob.com/players/1261592/patrick-hogan" TargetMode="External"/><Relationship Id="rId224" Type="http://schemas.openxmlformats.org/officeDocument/2006/relationships/hyperlink" Target="https://www.fotmob.com/players/924497/cam-lindley" TargetMode="External"/><Relationship Id="rId225" Type="http://schemas.openxmlformats.org/officeDocument/2006/relationships/hyperlink" Target="https://www.fotmob.com/players/1393400/josh-o-brien" TargetMode="External"/><Relationship Id="rId226" Type="http://schemas.openxmlformats.org/officeDocument/2006/relationships/hyperlink" Target="https://www.fotmob.com/players/421766/jack-blake" TargetMode="External"/><Relationship Id="rId227" Type="http://schemas.openxmlformats.org/officeDocument/2006/relationships/hyperlink" Target="https://www.fotmob.com/players/1615692/mohamed-omar" TargetMode="External"/><Relationship Id="rId228" Type="http://schemas.openxmlformats.org/officeDocument/2006/relationships/hyperlink" Target="https://www.fotmob.com/players/1349934/bruno-rendon" TargetMode="External"/><Relationship Id="rId229" Type="http://schemas.openxmlformats.org/officeDocument/2006/relationships/hyperlink" Target="https://www.fotmob.com/players/1349074/loic-mesanvi" TargetMode="External"/><Relationship Id="rId230" Type="http://schemas.openxmlformats.org/officeDocument/2006/relationships/hyperlink" Target="https://www.fotmob.com/players/1246572/edward-kizza" TargetMode="External"/><Relationship Id="rId231" Type="http://schemas.openxmlformats.org/officeDocument/2006/relationships/hyperlink" Target="https://www.fotmob.com/players/1606022/malik-henry-scott" TargetMode="External"/><Relationship Id="rId232" Type="http://schemas.openxmlformats.org/officeDocument/2006/relationships/hyperlink" Target="https://www.fotmob.com/players/1637791/charlie-sharp" TargetMode="External"/><Relationship Id="rId233" Type="http://schemas.openxmlformats.org/officeDocument/2006/relationships/hyperlink" Target="https://www.fotmob.com/players/1641223/dylan-sing" TargetMode="External"/><Relationship Id="rId234" Type="http://schemas.openxmlformats.org/officeDocument/2006/relationships/hyperlink" Target="https://www.fotmob.com/players/2009299/tyler-lowden" TargetMode="External"/><Relationship Id="rId235" Type="http://schemas.openxmlformats.org/officeDocument/2006/relationships/hyperlink" Target="https://www.fotmob.com/players/1928363/charlie-lanphier" TargetMode="External"/><Relationship Id="rId236" Type="http://schemas.openxmlformats.org/officeDocument/2006/relationships/hyperlink" Target="https://www.fotmob.com/players/1067383/triston-henry" TargetMode="External"/><Relationship Id="rId237" Type="http://schemas.openxmlformats.org/officeDocument/2006/relationships/hyperlink" Target="https://www.fotmob.com/players/1724704/carver-miller" TargetMode="External"/><Relationship Id="rId238" Type="http://schemas.openxmlformats.org/officeDocument/2006/relationships/hyperlink" Target="https://www.fotmob.com/players/2009303/joshua-moya" TargetMode="External"/><Relationship Id="rId239" Type="http://schemas.openxmlformats.org/officeDocument/2006/relationships/hyperlink" Target="https://www.fotmob.com/players/729785/aaron-guillen" TargetMode="External"/><Relationship Id="rId240" Type="http://schemas.openxmlformats.org/officeDocument/2006/relationships/hyperlink" Target="https://www.fotmob.com/players/1259223/themi-antonoglou" TargetMode="External"/><Relationship Id="rId241" Type="http://schemas.openxmlformats.org/officeDocument/2006/relationships/hyperlink" Target="https://www.fotmob.com/players/1610220/nate-jones" TargetMode="External"/><Relationship Id="rId242" Type="http://schemas.openxmlformats.org/officeDocument/2006/relationships/hyperlink" Target="https://www.fotmob.com/players/1542157/nyk-sessock" TargetMode="External"/><Relationship Id="rId243" Type="http://schemas.openxmlformats.org/officeDocument/2006/relationships/hyperlink" Target="https://www.fotmob.com/players/1252109/blake-pope" TargetMode="External"/><Relationship Id="rId244" Type="http://schemas.openxmlformats.org/officeDocument/2006/relationships/hyperlink" Target="https://www.fotmob.com/players/942835/ben-ofeimu" TargetMode="External"/><Relationship Id="rId245" Type="http://schemas.openxmlformats.org/officeDocument/2006/relationships/hyperlink" Target="https://www.fotmob.com/players/1615816/shawn-smart" TargetMode="External"/><Relationship Id="rId246" Type="http://schemas.openxmlformats.org/officeDocument/2006/relationships/hyperlink" Target="https://www.fotmob.com/players/1638563/callum-stretch" TargetMode="External"/><Relationship Id="rId247" Type="http://schemas.openxmlformats.org/officeDocument/2006/relationships/hyperlink" Target="https://www.fotmob.com/players/1341112/marc-ybarra" TargetMode="External"/><Relationship Id="rId248" Type="http://schemas.openxmlformats.org/officeDocument/2006/relationships/hyperlink" Target="https://www.fotmob.com/players/1644436/giorgio-probo" TargetMode="External"/><Relationship Id="rId249" Type="http://schemas.openxmlformats.org/officeDocument/2006/relationships/hyperlink" Target="https://www.fotmob.com/players/1767539/carson-locker" TargetMode="External"/><Relationship Id="rId250" Type="http://schemas.openxmlformats.org/officeDocument/2006/relationships/hyperlink" Target="https://www.fotmob.com/players/1276879/abraham-okyere" TargetMode="External"/><Relationship Id="rId251" Type="http://schemas.openxmlformats.org/officeDocument/2006/relationships/hyperlink" Target="https://www.fotmob.com/players/759820/kyle-scott" TargetMode="External"/><Relationship Id="rId252" Type="http://schemas.openxmlformats.org/officeDocument/2006/relationships/hyperlink" Target="https://www.fotmob.com/players/1368334/patrick-leal" TargetMode="External"/><Relationship Id="rId253" Type="http://schemas.openxmlformats.org/officeDocument/2006/relationships/hyperlink" Target="https://www.fotmob.com/players/1174821/edison-azcona" TargetMode="External"/><Relationship Id="rId254" Type="http://schemas.openxmlformats.org/officeDocument/2006/relationships/hyperlink" Target="https://www.fotmob.com/players/1308379/christian-pinzon" TargetMode="External"/><Relationship Id="rId255" Type="http://schemas.openxmlformats.org/officeDocument/2006/relationships/hyperlink" Target="https://www.fotmob.com/players/1253163/jonathan-rodriguez" TargetMode="External"/><Relationship Id="rId256" Type="http://schemas.openxmlformats.org/officeDocument/2006/relationships/hyperlink" Target="https://www.fotmob.com/players/521306/oalex-anderson" TargetMode="External"/><Relationship Id="rId257" Type="http://schemas.openxmlformats.org/officeDocument/2006/relationships/hyperlink" Target="https://www.fotmob.com/players/242923/manuel-arteaga" TargetMode="External"/><Relationship Id="rId258" Type="http://schemas.openxmlformats.org/officeDocument/2006/relationships/hyperlink" Target="https://www.fotmob.com/players/1448069/oliver-semmle" TargetMode="External"/><Relationship Id="rId259" Type="http://schemas.openxmlformats.org/officeDocument/2006/relationships/hyperlink" Target="https://www.fotmob.com/players/838225/logan-ketterer" TargetMode="External"/><Relationship Id="rId260" Type="http://schemas.openxmlformats.org/officeDocument/2006/relationships/hyperlink" Target="https://www.fotmob.com/players/1083232/brooks-thompson" TargetMode="External"/><Relationship Id="rId261" Type="http://schemas.openxmlformats.org/officeDocument/2006/relationships/hyperlink" Target="https://www.fotmob.com/players/1921045/garrett-addams" TargetMode="External"/><Relationship Id="rId262" Type="http://schemas.openxmlformats.org/officeDocument/2006/relationships/hyperlink" Target="https://www.fotmob.com/players/1338616/kendall-burks" TargetMode="External"/><Relationship Id="rId263" Type="http://schemas.openxmlformats.org/officeDocument/2006/relationships/hyperlink" Target="https://www.fotmob.com/players/1190665/jacob-greene" TargetMode="External"/><Relationship Id="rId264" Type="http://schemas.openxmlformats.org/officeDocument/2006/relationships/hyperlink" Target="https://www.fotmob.com/players/1440019/xavier-zengue" TargetMode="External"/><Relationship Id="rId265" Type="http://schemas.openxmlformats.org/officeDocument/2006/relationships/hyperlink" Target="https://www.fotmob.com/players/876136/javain-brown" TargetMode="External"/><Relationship Id="rId266" Type="http://schemas.openxmlformats.org/officeDocument/2006/relationships/hyperlink" Target="https://www.fotmob.com/players/1238237/marqes-muir" TargetMode="External"/><Relationship Id="rId267" Type="http://schemas.openxmlformats.org/officeDocument/2006/relationships/hyperlink" Target="https://www.fotmob.com/players/1136639/patrick-seagrist" TargetMode="External"/><Relationship Id="rId268" Type="http://schemas.openxmlformats.org/officeDocument/2006/relationships/hyperlink" Target="https://www.fotmob.com/players/1921044/andrew-caborn" TargetMode="External"/><Relationship Id="rId269" Type="http://schemas.openxmlformats.org/officeDocument/2006/relationships/hyperlink" Target="https://www.fotmob.com/players/2164866/brady-stockton" TargetMode="External"/><Relationship Id="rId270" Type="http://schemas.openxmlformats.org/officeDocument/2006/relationships/hyperlink" Target="https://www.fotmob.com/players/1346890/blaine-ferri" TargetMode="External"/><Relationship Id="rId271" Type="http://schemas.openxmlformats.org/officeDocument/2006/relationships/hyperlink" Target="https://www.fotmob.com/players/731870/aaron-molloy" TargetMode="External"/><Relationship Id="rId272" Type="http://schemas.openxmlformats.org/officeDocument/2006/relationships/hyperlink" Target="https://www.fotmob.com/players/1026160/nick-firmino" TargetMode="External"/><Relationship Id="rId273" Type="http://schemas.openxmlformats.org/officeDocument/2006/relationships/hyperlink" Target="https://www.fotmob.com/players/1016092/noble-okello" TargetMode="External"/><Relationship Id="rId274" Type="http://schemas.openxmlformats.org/officeDocument/2006/relationships/hyperlink" Target="https://www.fotmob.com/players/1188643/braudilio-rodrigues" TargetMode="External"/><Relationship Id="rId275" Type="http://schemas.openxmlformats.org/officeDocument/2006/relationships/hyperlink" Target="https://www.fotmob.com/players/1468886/cielo-tschantret" TargetMode="External"/><Relationship Id="rId276" Type="http://schemas.openxmlformats.org/officeDocument/2006/relationships/hyperlink" Target="https://www.fotmob.com/players/1997564/trenton-kutch" TargetMode="External"/><Relationship Id="rId277" Type="http://schemas.openxmlformats.org/officeDocument/2006/relationships/hyperlink" Target="https://www.fotmob.com/players/769782/luis-felipe" TargetMode="External"/><Relationship Id="rId278" Type="http://schemas.openxmlformats.org/officeDocument/2006/relationships/hyperlink" Target="https://www.fotmob.com/players/825666/marcus-epps" TargetMode="External"/><Relationship Id="rId279" Type="http://schemas.openxmlformats.org/officeDocument/2006/relationships/hyperlink" Target="https://www.fotmob.com/players/1134448/phillip-goodrum" TargetMode="External"/><Relationship Id="rId280" Type="http://schemas.openxmlformats.org/officeDocument/2006/relationships/hyperlink" Target="https://www.fotmob.com/players/1351047/tarik-scott" TargetMode="External"/><Relationship Id="rId281" Type="http://schemas.openxmlformats.org/officeDocument/2006/relationships/hyperlink" Target="https://www.fotmob.com/players/1403414/malcolm-fry" TargetMode="External"/><Relationship Id="rId282" Type="http://schemas.openxmlformats.org/officeDocument/2006/relationships/hyperlink" Target="https://www.fotmob.com/players/825619/jonathan-lewis" TargetMode="External"/><Relationship Id="rId283" Type="http://schemas.openxmlformats.org/officeDocument/2006/relationships/hyperlink" Target="https://www.fotmob.com/players/1447918/milo-yosef" TargetMode="External"/><Relationship Id="rId284" Type="http://schemas.openxmlformats.org/officeDocument/2006/relationships/hyperlink" Target="https://www.fotmob.com/players/1935080/jonathan-stout" TargetMode="External"/><Relationship Id="rId285" Type="http://schemas.openxmlformats.org/officeDocument/2006/relationships/hyperlink" Target="https://www.fotmob.com/players/1346730/ethan-bandre" TargetMode="External"/><Relationship Id="rId286" Type="http://schemas.openxmlformats.org/officeDocument/2006/relationships/hyperlink" Target="https://www.fotmob.com/players/1078951/jordan-farr" TargetMode="External"/><Relationship Id="rId287" Type="http://schemas.openxmlformats.org/officeDocument/2006/relationships/hyperlink" Target="https://www.fotmob.com/players/825620/kwame-awuah" TargetMode="External"/><Relationship Id="rId288" Type="http://schemas.openxmlformats.org/officeDocument/2006/relationships/hyperlink" Target="https://www.fotmob.com/players/675538/bolu-akinyode" TargetMode="External"/><Relationship Id="rId289" Type="http://schemas.openxmlformats.org/officeDocument/2006/relationships/hyperlink" Target="https://www.fotmob.com/players/1719157/noah-adnan" TargetMode="External"/><Relationship Id="rId290" Type="http://schemas.openxmlformats.org/officeDocument/2006/relationships/hyperlink" Target="https://www.fotmob.com/players/915626/pacifique-niyongabire" TargetMode="External"/><Relationship Id="rId291" Type="http://schemas.openxmlformats.org/officeDocument/2006/relationships/hyperlink" Target="https://www.fotmob.com/players/1500407/salvatore-mazzaferro" TargetMode="External"/><Relationship Id="rId292" Type="http://schemas.openxmlformats.org/officeDocument/2006/relationships/hyperlink" Target="https://www.fotmob.com/players/1338758/jacob-erlandson" TargetMode="External"/><Relationship Id="rId293" Type="http://schemas.openxmlformats.org/officeDocument/2006/relationships/hyperlink" Target="https://www.fotmob.com/players/1611219/aidan-o-connor" TargetMode="External"/><Relationship Id="rId294" Type="http://schemas.openxmlformats.org/officeDocument/2006/relationships/hyperlink" Target="https://www.fotmob.com/players/1109656/ezra-armstrong" TargetMode="External"/><Relationship Id="rId295" Type="http://schemas.openxmlformats.org/officeDocument/2006/relationships/hyperlink" Target="https://www.fotmob.com/players/2030039/liam-barrus" TargetMode="External"/><Relationship Id="rId296" Type="http://schemas.openxmlformats.org/officeDocument/2006/relationships/hyperlink" Target="https://www.fotmob.com/players/780567/james-murphy" TargetMode="External"/><Relationship Id="rId297" Type="http://schemas.openxmlformats.org/officeDocument/2006/relationships/hyperlink" Target="https://www.fotmob.com/players/1459269/richard-aman" TargetMode="External"/><Relationship Id="rId298" Type="http://schemas.openxmlformats.org/officeDocument/2006/relationships/hyperlink" Target="https://www.fotmob.com/players/281628/pedro-santos" TargetMode="External"/><Relationship Id="rId299" Type="http://schemas.openxmlformats.org/officeDocument/2006/relationships/hyperlink" Target="https://www.fotmob.com/players/1358177/jack-panayotou" TargetMode="External"/><Relationship Id="rId300" Type="http://schemas.openxmlformats.org/officeDocument/2006/relationships/hyperlink" Target="https://www.fotmob.com/players/1346863/marcos-dias" TargetMode="External"/><Relationship Id="rId301" Type="http://schemas.openxmlformats.org/officeDocument/2006/relationships/hyperlink" Target="https://www.fotmob.com/players/1309795/sean-young" TargetMode="External"/><Relationship Id="rId302" Type="http://schemas.openxmlformats.org/officeDocument/2006/relationships/hyperlink" Target="https://www.fotmob.com/players/1079296/akil-watts" TargetMode="External"/><Relationship Id="rId303" Type="http://schemas.openxmlformats.org/officeDocument/2006/relationships/hyperlink" Target="https://www.fotmob.com/players/1576399/luca-piras" TargetMode="External"/><Relationship Id="rId304" Type="http://schemas.openxmlformats.org/officeDocument/2006/relationships/hyperlink" Target="https://www.fotmob.com/players/1216799/rida-zouhir" TargetMode="External"/><Relationship Id="rId305" Type="http://schemas.openxmlformats.org/officeDocument/2006/relationships/hyperlink" Target="https://www.fotmob.com/players/1252526/abdellatif-aboukoura" TargetMode="External"/><Relationship Id="rId306" Type="http://schemas.openxmlformats.org/officeDocument/2006/relationships/hyperlink" Target="https://www.fotmob.com/players/1166560/christian-torres" TargetMode="External"/><Relationship Id="rId307" Type="http://schemas.openxmlformats.org/officeDocument/2006/relationships/hyperlink" Target="https://www.fotmob.com/players/1374959/eddy-davis-iii" TargetMode="External"/><Relationship Id="rId308" Type="http://schemas.openxmlformats.org/officeDocument/2006/relationships/hyperlink" Target="https://www.fotmob.com/players/1241617/giorgi-lomtadze" TargetMode="External"/><Relationship Id="rId309" Type="http://schemas.openxmlformats.org/officeDocument/2006/relationships/hyperlink" Target="https://www.fotmob.com/players/1647585/liam-butts" TargetMode="External"/><Relationship Id="rId310" Type="http://schemas.openxmlformats.org/officeDocument/2006/relationships/hyperlink" Target="https://www.fotmob.com/players/1192554/danny-faundez" TargetMode="External"/><Relationship Id="rId311" Type="http://schemas.openxmlformats.org/officeDocument/2006/relationships/hyperlink" Target="https://www.fotmob.com/players/1252620/hugo-fauroux" TargetMode="External"/><Relationship Id="rId312" Type="http://schemas.openxmlformats.org/officeDocument/2006/relationships/hyperlink" Target="https://www.fotmob.com/players/1642172/ryan-schewe" TargetMode="External"/><Relationship Id="rId313" Type="http://schemas.openxmlformats.org/officeDocument/2006/relationships/hyperlink" Target="https://www.fotmob.com/players/1652403/ryan-troutman" TargetMode="External"/><Relationship Id="rId314" Type="http://schemas.openxmlformats.org/officeDocument/2006/relationships/hyperlink" Target="https://www.fotmob.com/players/2297260/collin-haus" TargetMode="External"/><Relationship Id="rId315" Type="http://schemas.openxmlformats.org/officeDocument/2006/relationships/hyperlink" Target="https://www.fotmob.com/players/1072318/kyle-adams" TargetMode="External"/><Relationship Id="rId316" Type="http://schemas.openxmlformats.org/officeDocument/2006/relationships/hyperlink" Target="https://www.fotmob.com/players/681621/sean-totsch" TargetMode="External"/><Relationship Id="rId317" Type="http://schemas.openxmlformats.org/officeDocument/2006/relationships/hyperlink" Target="https://www.fotmob.com/players/1678153/brandon-dayes" TargetMode="External"/><Relationship Id="rId318" Type="http://schemas.openxmlformats.org/officeDocument/2006/relationships/hyperlink" Target="https://www.fotmob.com/players/1252865/carlos-moguel" TargetMode="External"/><Relationship Id="rId319" Type="http://schemas.openxmlformats.org/officeDocument/2006/relationships/hyperlink" Target="https://www.fotmob.com/players/1516711/josh-jones" TargetMode="External"/><Relationship Id="rId320" Type="http://schemas.openxmlformats.org/officeDocument/2006/relationships/hyperlink" Target="https://www.fotmob.com/players/1251788/taylor-davila" TargetMode="External"/><Relationship Id="rId321" Type="http://schemas.openxmlformats.org/officeDocument/2006/relationships/hyperlink" Target="https://www.fotmob.com/players/1615825/jansen-wilson" TargetMode="External"/><Relationship Id="rId322" Type="http://schemas.openxmlformats.org/officeDocument/2006/relationships/hyperlink" Target="https://www.fotmob.com/players/1250356/aiden-mcfadden" TargetMode="External"/><Relationship Id="rId323" Type="http://schemas.openxmlformats.org/officeDocument/2006/relationships/hyperlink" Target="https://www.fotmob.com/players/1338761/jake-morris" TargetMode="External"/><Relationship Id="rId324" Type="http://schemas.openxmlformats.org/officeDocument/2006/relationships/hyperlink" Target="https://www.fotmob.com/players/1083224/ray-serrano" TargetMode="External"/><Relationship Id="rId325" Type="http://schemas.openxmlformats.org/officeDocument/2006/relationships/hyperlink" Target="https://www.fotmob.com/players/1018588/manny-perez" TargetMode="External"/><Relationship Id="rId326" Type="http://schemas.openxmlformats.org/officeDocument/2006/relationships/hyperlink" Target="https://www.fotmob.com/players/1030785/zach-duncan" TargetMode="External"/><Relationship Id="rId327" Type="http://schemas.openxmlformats.org/officeDocument/2006/relationships/hyperlink" Target="https://www.fotmob.com/players/621932/amadou-dia" TargetMode="External"/><Relationship Id="rId328" Type="http://schemas.openxmlformats.org/officeDocument/2006/relationships/hyperlink" Target="https://www.fotmob.com/players/822741/kevon-lambert" TargetMode="External"/><Relationship Id="rId329" Type="http://schemas.openxmlformats.org/officeDocument/2006/relationships/hyperlink" Target="https://www.fotmob.com/players/1035619/sam-gleadle" TargetMode="External"/><Relationship Id="rId330" Type="http://schemas.openxmlformats.org/officeDocument/2006/relationships/hyperlink" Target="https://www.fotmob.com/players/1780447/babacar-niang" TargetMode="External"/><Relationship Id="rId331" Type="http://schemas.openxmlformats.org/officeDocument/2006/relationships/hyperlink" Target="https://www.fotmob.com/players/1166263/cameron-duke" TargetMode="External"/><Relationship Id="rId332" Type="http://schemas.openxmlformats.org/officeDocument/2006/relationships/hyperlink" Target="https://www.fotmob.com/players/1346897/chris-donovan" TargetMode="External"/><Relationship Id="rId333" Type="http://schemas.openxmlformats.org/officeDocument/2006/relationships/hyperlink" Target="https://www.fotmob.com/players/1623834/evan-davila" TargetMode="External"/><Relationship Id="rId334" Type="http://schemas.openxmlformats.org/officeDocument/2006/relationships/hyperlink" Target="https://www.fotmob.com/players/973779/mukwelle-akale" TargetMode="External"/><Relationship Id="rId335" Type="http://schemas.openxmlformats.org/officeDocument/2006/relationships/hyperlink" Target="https://www.fotmob.com/players/1448115/tola-showunmi" TargetMode="External"/><Relationship Id="rId336" Type="http://schemas.openxmlformats.org/officeDocument/2006/relationships/hyperlink" Target="https://www.fotmob.com/players/1615750/quenzi-huerman" TargetMode="External"/><Relationship Id="rId337" Type="http://schemas.openxmlformats.org/officeDocument/2006/relationships/hyperlink" Target="https://www.fotmob.com/players/2110953/cooper-conley" TargetMode="External"/><Relationship Id="rId338" Type="http://schemas.openxmlformats.org/officeDocument/2006/relationships/hyperlink" Target="https://www.fotmob.com/players/150242/eloy-room" TargetMode="External"/><Relationship Id="rId339" Type="http://schemas.openxmlformats.org/officeDocument/2006/relationships/hyperlink" Target="https://www.fotmob.com/players/1640878/felipe-rodriguez" TargetMode="External"/><Relationship Id="rId340" Type="http://schemas.openxmlformats.org/officeDocument/2006/relationships/hyperlink" Target="https://www.fotmob.com/players/2084621/cristian-blanco" TargetMode="External"/><Relationship Id="rId341" Type="http://schemas.openxmlformats.org/officeDocument/2006/relationships/hyperlink" Target="https://www.fotmob.com/players/2030061/julian-rodriguez" TargetMode="External"/><Relationship Id="rId342" Type="http://schemas.openxmlformats.org/officeDocument/2006/relationships/hyperlink" Target="https://www.fotmob.com/players/1923044/gavin-gonsalves" TargetMode="External"/><Relationship Id="rId343" Type="http://schemas.openxmlformats.org/officeDocument/2006/relationships/hyperlink" Target="https://www.fotmob.com/players/1006668/alessandro-milesi" TargetMode="External"/><Relationship Id="rId344" Type="http://schemas.openxmlformats.org/officeDocument/2006/relationships/hyperlink" Target="https://www.fotmob.com/players/1082131/daltyn-knutson" TargetMode="External"/><Relationship Id="rId345" Type="http://schemas.openxmlformats.org/officeDocument/2006/relationships/hyperlink" Target="https://www.fotmob.com/players/1455128/angelo-calfo" TargetMode="External"/><Relationship Id="rId346" Type="http://schemas.openxmlformats.org/officeDocument/2006/relationships/hyperlink" Target="https://www.fotmob.com/players/1666352/bachir-ndiaye" TargetMode="External"/><Relationship Id="rId347" Type="http://schemas.openxmlformats.org/officeDocument/2006/relationships/hyperlink" Target="https://www.fotmob.com/players/1170994/arthur-rogers" TargetMode="External"/><Relationship Id="rId348" Type="http://schemas.openxmlformats.org/officeDocument/2006/relationships/hyperlink" Target="https://www.fotmob.com/players/1081944/tulu" TargetMode="External"/><Relationship Id="rId349" Type="http://schemas.openxmlformats.org/officeDocument/2006/relationships/hyperlink" Target="https://www.fotmob.com/players/1431293/harwan-al-zubaidi" TargetMode="External"/><Relationship Id="rId350" Type="http://schemas.openxmlformats.org/officeDocument/2006/relationships/hyperlink" Target="https://www.fotmob.com/players/668489/jonathan-levin" TargetMode="External"/><Relationship Id="rId351" Type="http://schemas.openxmlformats.org/officeDocument/2006/relationships/hyperlink" Target="https://www.fotmob.com/players/1967853/jeremy-medranda" TargetMode="External"/><Relationship Id="rId352" Type="http://schemas.openxmlformats.org/officeDocument/2006/relationships/hyperlink" Target="https://www.fotmob.com/players/2130545/justin-white" TargetMode="External"/><Relationship Id="rId353" Type="http://schemas.openxmlformats.org/officeDocument/2006/relationships/hyperlink" Target="https://www.fotmob.com/players/660079/matias-romero" TargetMode="External"/><Relationship Id="rId354" Type="http://schemas.openxmlformats.org/officeDocument/2006/relationships/hyperlink" Target="https://www.fotmob.com/players/1035025/rodrigo-da-costa" TargetMode="External"/><Relationship Id="rId355" Type="http://schemas.openxmlformats.org/officeDocument/2006/relationships/hyperlink" Target="https://www.fotmob.com/players/1610327/riyon-tori" TargetMode="External"/><Relationship Id="rId356" Type="http://schemas.openxmlformats.org/officeDocument/2006/relationships/hyperlink" Target="https://www.fotmob.com/players/643612/joel-sonora" TargetMode="External"/><Relationship Id="rId357" Type="http://schemas.openxmlformats.org/officeDocument/2006/relationships/hyperlink" Target="https://www.fotmob.com/players/855287/gerald-diaz" TargetMode="External"/><Relationship Id="rId358" Type="http://schemas.openxmlformats.org/officeDocument/2006/relationships/hyperlink" Target="https://www.fotmob.com/players/1524674/tommy-musto" TargetMode="External"/><Relationship Id="rId359" Type="http://schemas.openxmlformats.org/officeDocument/2006/relationships/hyperlink" Target="https://www.fotmob.com/players/1938728/mame-diallo" TargetMode="External"/><Relationship Id="rId360" Type="http://schemas.openxmlformats.org/officeDocument/2006/relationships/hyperlink" Target="https://www.fotmob.com/players/1392871/arney-rocha" TargetMode="External"/><Relationship Id="rId361" Type="http://schemas.openxmlformats.org/officeDocument/2006/relationships/hyperlink" Target="https://www.fotmob.com/players/1626466/mason-tunbridge" TargetMode="External"/><Relationship Id="rId362" Type="http://schemas.openxmlformats.org/officeDocument/2006/relationships/hyperlink" Target="https://www.fotmob.com/players/1421734/denilson-milanes" TargetMode="External"/><Relationship Id="rId363" Type="http://schemas.openxmlformats.org/officeDocument/2006/relationships/hyperlink" Target="https://www.fotmob.com/players/1804489/diego-mello" TargetMode="External"/><Relationship Id="rId364" Type="http://schemas.openxmlformats.org/officeDocument/2006/relationships/hyperlink" Target="https://www.fotmob.com/players/2130546/massimo-mlekus" TargetMode="External"/><Relationship Id="rId365" Type="http://schemas.openxmlformats.org/officeDocument/2006/relationships/hyperlink" Target="https://www.fotmob.com/players/1339415/jacob-jackson" TargetMode="External"/><Relationship Id="rId366" Type="http://schemas.openxmlformats.org/officeDocument/2006/relationships/hyperlink" Target="https://www.fotmob.com/players/1261616/fernando-delgado" TargetMode="External"/><Relationship Id="rId367" Type="http://schemas.openxmlformats.org/officeDocument/2006/relationships/hyperlink" Target="https://www.fotmob.com/players/1190741/ciaran-dalton" TargetMode="External"/><Relationship Id="rId368" Type="http://schemas.openxmlformats.org/officeDocument/2006/relationships/hyperlink" Target="https://www.fotmob.com/players/1190745/zack-farnsworth" TargetMode="External"/><Relationship Id="rId369" Type="http://schemas.openxmlformats.org/officeDocument/2006/relationships/hyperlink" Target="https://www.fotmob.com/players/1626139/joel-garcia" TargetMode="External"/><Relationship Id="rId370" Type="http://schemas.openxmlformats.org/officeDocument/2006/relationships/hyperlink" Target="https://www.fotmob.com/players/1682712/kelsey-egwu" TargetMode="External"/><Relationship Id="rId371" Type="http://schemas.openxmlformats.org/officeDocument/2006/relationships/hyperlink" Target="https://www.fotmob.com/players/1159160/nicholas-gordon" TargetMode="External"/><Relationship Id="rId372" Type="http://schemas.openxmlformats.org/officeDocument/2006/relationships/hyperlink" Target="https://www.fotmob.com/players/1372216/stuart-ritchie" TargetMode="External"/><Relationship Id="rId373" Type="http://schemas.openxmlformats.org/officeDocument/2006/relationships/hyperlink" Target="https://www.fotmob.com/players/1079865/luka-malesevic" TargetMode="External"/><Relationship Id="rId374" Type="http://schemas.openxmlformats.org/officeDocument/2006/relationships/hyperlink" Target="https://www.fotmob.com/players/1780532/quinton-elliot" TargetMode="External"/><Relationship Id="rId375" Type="http://schemas.openxmlformats.org/officeDocument/2006/relationships/hyperlink" Target="https://www.fotmob.com/players/1897440/abdel-talabi" TargetMode="External"/><Relationship Id="rId376" Type="http://schemas.openxmlformats.org/officeDocument/2006/relationships/hyperlink" Target="https://www.fotmob.com/players/1921665/andres-o-neal" TargetMode="External"/><Relationship Id="rId377" Type="http://schemas.openxmlformats.org/officeDocument/2006/relationships/hyperlink" Target="https://www.fotmob.com/players/2009302/diego-carbajal" TargetMode="External"/><Relationship Id="rId378" Type="http://schemas.openxmlformats.org/officeDocument/2006/relationships/hyperlink" Target="https://www.fotmob.com/players/1358343/ryuga-nakamura" TargetMode="External"/><Relationship Id="rId379" Type="http://schemas.openxmlformats.org/officeDocument/2006/relationships/hyperlink" Target="https://www.fotmob.com/players/181255/nick-ross" TargetMode="External"/><Relationship Id="rId380" Type="http://schemas.openxmlformats.org/officeDocument/2006/relationships/hyperlink" Target="https://www.fotmob.com/players/411629/sebastian-lletget" TargetMode="External"/><Relationship Id="rId381" Type="http://schemas.openxmlformats.org/officeDocument/2006/relationships/hyperlink" Target="https://www.fotmob.com/players/1650450/belmar-joseph" TargetMode="External"/><Relationship Id="rId382" Type="http://schemas.openxmlformats.org/officeDocument/2006/relationships/hyperlink" Target="https://www.fotmob.com/players/1348326/eduardo-blancas" TargetMode="External"/><Relationship Id="rId383" Type="http://schemas.openxmlformats.org/officeDocument/2006/relationships/hyperlink" Target="https://www.fotmob.com/players/1283365/jacob-montes" TargetMode="External"/><Relationship Id="rId384" Type="http://schemas.openxmlformats.org/officeDocument/2006/relationships/hyperlink" Target="https://www.fotmob.com/players/1350176/facundo-canete" TargetMode="External"/><Relationship Id="rId385" Type="http://schemas.openxmlformats.org/officeDocument/2006/relationships/hyperlink" Target="https://www.fotmob.com/players/575317/judson" TargetMode="External"/><Relationship Id="rId386" Type="http://schemas.openxmlformats.org/officeDocument/2006/relationships/hyperlink" Target="https://www.fotmob.com/players/1921664/ballack-villasana" TargetMode="External"/><Relationship Id="rId387" Type="http://schemas.openxmlformats.org/officeDocument/2006/relationships/hyperlink" Target="https://www.fotmob.com/players/2303352/julian-pakbaz" TargetMode="External"/><Relationship Id="rId388" Type="http://schemas.openxmlformats.org/officeDocument/2006/relationships/hyperlink" Target="https://www.fotmob.com/players/1082953/ilijah-paul" TargetMode="External"/><Relationship Id="rId389" Type="http://schemas.openxmlformats.org/officeDocument/2006/relationships/hyperlink" Target="https://www.fotmob.com/players/1240376/omari-glasgow" TargetMode="External"/><Relationship Id="rId390" Type="http://schemas.openxmlformats.org/officeDocument/2006/relationships/hyperlink" Target="https://www.fotmob.com/players/1447989/wesley-leggett" TargetMode="External"/><Relationship Id="rId391" Type="http://schemas.openxmlformats.org/officeDocument/2006/relationships/hyperlink" Target="https://www.fotmob.com/players/1406105/fidel-barajas" TargetMode="External"/><Relationship Id="rId392" Type="http://schemas.openxmlformats.org/officeDocument/2006/relationships/hyperlink" Target="https://www.fotmob.com/players/1364473/diego-otoya" TargetMode="External"/><Relationship Id="rId393" Type="http://schemas.openxmlformats.org/officeDocument/2006/relationships/hyperlink" Target="https://www.fotmob.com/players/1344758/adrian-rebollar" TargetMode="External"/><Relationship Id="rId394" Type="http://schemas.openxmlformats.org/officeDocument/2006/relationships/hyperlink" Target="https://www.fotmob.com/players/1168844/kristopher-shakes" TargetMode="External"/><Relationship Id="rId395" Type="http://schemas.openxmlformats.org/officeDocument/2006/relationships/hyperlink" Target="https://www.fotmob.com/players/1252101/raiko-arozarena" TargetMode="External"/><Relationship Id="rId396" Type="http://schemas.openxmlformats.org/officeDocument/2006/relationships/hyperlink" Target="https://www.fotmob.com/players/1252224/andrew-pannenberg" TargetMode="External"/><Relationship Id="rId397" Type="http://schemas.openxmlformats.org/officeDocument/2006/relationships/hyperlink" Target="https://www.fotmob.com/players/2119828/edwin-ortiz" TargetMode="External"/><Relationship Id="rId398" Type="http://schemas.openxmlformats.org/officeDocument/2006/relationships/hyperlink" Target="https://www.fotmob.com/players/662981/niko-hamalainen" TargetMode="External"/><Relationship Id="rId399" Type="http://schemas.openxmlformats.org/officeDocument/2006/relationships/hyperlink" Target="https://www.fotmob.com/players/1054030/christopher-gloster" TargetMode="External"/><Relationship Id="rId400" Type="http://schemas.openxmlformats.org/officeDocument/2006/relationships/hyperlink" Target="https://www.fotmob.com/players/1339430/kipp-keller" TargetMode="External"/><Relationship Id="rId401" Type="http://schemas.openxmlformats.org/officeDocument/2006/relationships/hyperlink" Target="https://www.fotmob.com/players/1171307/jake-lacava" TargetMode="External"/><Relationship Id="rId402" Type="http://schemas.openxmlformats.org/officeDocument/2006/relationships/hyperlink" Target="https://www.fotmob.com/players/1420380/maliek-howell" TargetMode="External"/><Relationship Id="rId403" Type="http://schemas.openxmlformats.org/officeDocument/2006/relationships/hyperlink" Target="https://www.fotmob.com/players/501040/tyler-blackett" TargetMode="External"/><Relationship Id="rId404" Type="http://schemas.openxmlformats.org/officeDocument/2006/relationships/hyperlink" Target="https://www.fotmob.com/players/1460330/ousman-jabang" TargetMode="External"/><Relationship Id="rId405" Type="http://schemas.openxmlformats.org/officeDocument/2006/relationships/hyperlink" Target="https://www.fotmob.com/players/1075639/zico-bailey" TargetMode="External"/><Relationship Id="rId406" Type="http://schemas.openxmlformats.org/officeDocument/2006/relationships/hyperlink" Target="https://www.fotmob.com/players/959425/valentin-noel" TargetMode="External"/><Relationship Id="rId407" Type="http://schemas.openxmlformats.org/officeDocument/2006/relationships/hyperlink" Target="https://www.fotmob.com/players/1172876/cullen-wilkerson" TargetMode="External"/><Relationship Id="rId408" Type="http://schemas.openxmlformats.org/officeDocument/2006/relationships/hyperlink" Target="https://www.fotmob.com/players/481387/gedion-zelalem" TargetMode="External"/><Relationship Id="rId409" Type="http://schemas.openxmlformats.org/officeDocument/2006/relationships/hyperlink" Target="https://www.fotmob.com/players/1339365/sofiane-djeffal" TargetMode="External"/><Relationship Id="rId410" Type="http://schemas.openxmlformats.org/officeDocument/2006/relationships/hyperlink" Target="https://www.fotmob.com/players/1082057/marlon-vargas" TargetMode="External"/><Relationship Id="rId411" Type="http://schemas.openxmlformats.org/officeDocument/2006/relationships/hyperlink" Target="https://www.fotmob.com/players/2181028/winston-starr" TargetMode="External"/><Relationship Id="rId412" Type="http://schemas.openxmlformats.org/officeDocument/2006/relationships/hyperlink" Target="https://www.fotmob.com/players/632285/greg-hurst" TargetMode="External"/><Relationship Id="rId413" Type="http://schemas.openxmlformats.org/officeDocument/2006/relationships/hyperlink" Target="https://www.fotmob.com/players/1240864/niall-reid-stephen" TargetMode="External"/><Relationship Id="rId414" Type="http://schemas.openxmlformats.org/officeDocument/2006/relationships/hyperlink" Target="https://www.fotmob.com/players/1172427/dayonn-harris" TargetMode="External"/><Relationship Id="rId415" Type="http://schemas.openxmlformats.org/officeDocument/2006/relationships/hyperlink" Target="https://www.fotmob.com/players/1057932/charlie-dennis" TargetMode="External"/><Relationship Id="rId416" Type="http://schemas.openxmlformats.org/officeDocument/2006/relationships/hyperlink" Target="https://www.fotmob.com/players/1272104/cristian-nava" TargetMode="External"/><Relationship Id="rId417" Type="http://schemas.openxmlformats.org/officeDocument/2006/relationships/hyperlink" Target="https://www.fotmob.com/players/1005796/luther-archimede" TargetMode="External"/><Relationship Id="rId418" Type="http://schemas.openxmlformats.org/officeDocument/2006/relationships/hyperlink" Target="https://www.fotmob.com/players/1026140/justin-rennicks" TargetMode="External"/><Relationship Id="rId419" Type="http://schemas.openxmlformats.org/officeDocument/2006/relationships/hyperlink" Target="https://www.fotmob.com/players/1780460/joseph-quiah" TargetMode="External"/><Relationship Id="rId420" Type="http://schemas.openxmlformats.org/officeDocument/2006/relationships/hyperlink" Target="https://www.fotmob.com/players/533126/kendall-mcintosh" TargetMode="External"/><Relationship Id="rId421" Type="http://schemas.openxmlformats.org/officeDocument/2006/relationships/hyperlink" Target="https://www.fotmob.com/players/198033/raphael-spiegel" TargetMode="External"/><Relationship Id="rId422" Type="http://schemas.openxmlformats.org/officeDocument/2006/relationships/hyperlink" Target="https://www.fotmob.com/players/2221958/julian-escobar" TargetMode="External"/><Relationship Id="rId423" Type="http://schemas.openxmlformats.org/officeDocument/2006/relationships/hyperlink" Target="https://www.fotmob.com/players/2141086/devon-taylor" TargetMode="External"/><Relationship Id="rId424" Type="http://schemas.openxmlformats.org/officeDocument/2006/relationships/hyperlink" Target="https://www.fotmob.com/players/1252225/michael-edwards" TargetMode="External"/><Relationship Id="rId425" Type="http://schemas.openxmlformats.org/officeDocument/2006/relationships/hyperlink" Target="https://www.fotmob.com/players/1919772/jesus-de-vicente" TargetMode="External"/><Relationship Id="rId426" Type="http://schemas.openxmlformats.org/officeDocument/2006/relationships/hyperlink" Target="https://www.fotmob.com/players/675103/neveal-hackshaw" TargetMode="External"/><Relationship Id="rId427" Type="http://schemas.openxmlformats.org/officeDocument/2006/relationships/hyperlink" Target="https://www.fotmob.com/players/1366626/julian-bravo" TargetMode="External"/><Relationship Id="rId428" Type="http://schemas.openxmlformats.org/officeDocument/2006/relationships/hyperlink" Target="https://www.fotmob.com/players/1520643/david-garcia" TargetMode="External"/><Relationship Id="rId429" Type="http://schemas.openxmlformats.org/officeDocument/2006/relationships/hyperlink" Target="https://www.fotmob.com/players/1439996/keegan-tingey" TargetMode="External"/><Relationship Id="rId430" Type="http://schemas.openxmlformats.org/officeDocument/2006/relationships/hyperlink" Target="https://www.fotmob.com/players/1675563/mark-fisher" TargetMode="External"/><Relationship Id="rId431" Type="http://schemas.openxmlformats.org/officeDocument/2006/relationships/hyperlink" Target="https://www.fotmob.com/players/1928454/emilio-sorrosa" TargetMode="External"/><Relationship Id="rId432" Type="http://schemas.openxmlformats.org/officeDocument/2006/relationships/hyperlink" Target="https://www.fotmob.com/players/1919767/jonathan-polio" TargetMode="External"/><Relationship Id="rId433" Type="http://schemas.openxmlformats.org/officeDocument/2006/relationships/hyperlink" Target="https://www.fotmob.com/players/2303358/emiliano-arana" TargetMode="External"/><Relationship Id="rId434" Type="http://schemas.openxmlformats.org/officeDocument/2006/relationships/hyperlink" Target="https://www.fotmob.com/players/741993/tommy-mccabe" TargetMode="External"/><Relationship Id="rId435" Type="http://schemas.openxmlformats.org/officeDocument/2006/relationships/hyperlink" Target="https://www.fotmob.com/players/1242220/bobosi-byaruhanga" TargetMode="External"/><Relationship Id="rId436" Type="http://schemas.openxmlformats.org/officeDocument/2006/relationships/hyperlink" Target="https://www.fotmob.com/players/768896/florian-valot" TargetMode="External"/><Relationship Id="rId437" Type="http://schemas.openxmlformats.org/officeDocument/2006/relationships/hyperlink" Target="https://www.fotmob.com/players/1440011/bertin-jacquesson" TargetMode="External"/><Relationship Id="rId438" Type="http://schemas.openxmlformats.org/officeDocument/2006/relationships/hyperlink" Target="https://www.fotmob.com/players/1168320/bruno-lapa" TargetMode="External"/><Relationship Id="rId439" Type="http://schemas.openxmlformats.org/officeDocument/2006/relationships/hyperlink" Target="https://www.fotmob.com/players/756396/tyler-gibson" TargetMode="External"/><Relationship Id="rId440" Type="http://schemas.openxmlformats.org/officeDocument/2006/relationships/hyperlink" Target="https://www.fotmob.com/players/1083234/tucker-lepley" TargetMode="External"/><Relationship Id="rId441" Type="http://schemas.openxmlformats.org/officeDocument/2006/relationships/hyperlink" Target="https://www.fotmob.com/players/2101228/etienne-lopez" TargetMode="External"/><Relationship Id="rId442" Type="http://schemas.openxmlformats.org/officeDocument/2006/relationships/hyperlink" Target="https://www.fotmob.com/players/2140684/gavin-stone" TargetMode="External"/><Relationship Id="rId443" Type="http://schemas.openxmlformats.org/officeDocument/2006/relationships/hyperlink" Target="https://www.fotmob.com/players/2009300/charlie-wachs" TargetMode="External"/><Relationship Id="rId444" Type="http://schemas.openxmlformats.org/officeDocument/2006/relationships/hyperlink" Target="https://www.fotmob.com/players/1928453/luka-rosic" TargetMode="External"/><Relationship Id="rId445" Type="http://schemas.openxmlformats.org/officeDocument/2006/relationships/hyperlink" Target="https://www.fotmob.com/players/1285619/wolfgang-prentice" TargetMode="External"/><Relationship Id="rId446" Type="http://schemas.openxmlformats.org/officeDocument/2006/relationships/hyperlink" Target="https://www.fotmob.com/players/627857/peter-wilson" TargetMode="External"/><Relationship Id="rId447" Type="http://schemas.openxmlformats.org/officeDocument/2006/relationships/hyperlink" Target="https://www.fotmob.com/players/959244/faysal-bettache" TargetMode="External"/><Relationship Id="rId448" Type="http://schemas.openxmlformats.org/officeDocument/2006/relationships/hyperlink" Target="https://www.fotmob.com/players/1179783/danny-trejo" TargetMode="External"/><Relationship Id="rId449" Type="http://schemas.openxmlformats.org/officeDocument/2006/relationships/hyperlink" Target="https://www.fotmob.com/players/1921667/jackson-kiil" TargetMode="External"/><Relationship Id="rId450" Type="http://schemas.openxmlformats.org/officeDocument/2006/relationships/hyperlink" Target="https://www.fotmob.com/players/1257972/alex-rando" TargetMode="External"/><Relationship Id="rId451" Type="http://schemas.openxmlformats.org/officeDocument/2006/relationships/hyperlink" Target="https://www.fotmob.com/players/1645554/tetsuya-kadono" TargetMode="External"/><Relationship Id="rId452" Type="http://schemas.openxmlformats.org/officeDocument/2006/relationships/hyperlink" Target="https://www.fotmob.com/players/2119830/jack-gentile" TargetMode="External"/><Relationship Id="rId453" Type="http://schemas.openxmlformats.org/officeDocument/2006/relationships/hyperlink" Target="https://www.fotmob.com/players/858006/tom-brewitt" TargetMode="External"/><Relationship Id="rId454" Type="http://schemas.openxmlformats.org/officeDocument/2006/relationships/hyperlink" Target="https://www.fotmob.com/players/1338699/nico-benalcazar" TargetMode="External"/><Relationship Id="rId455" Type="http://schemas.openxmlformats.org/officeDocument/2006/relationships/hyperlink" Target="https://www.fotmob.com/players/1170742/garrison-tubbs" TargetMode="External"/><Relationship Id="rId456" Type="http://schemas.openxmlformats.org/officeDocument/2006/relationships/hyperlink" Target="https://www.fotmob.com/players/739732/ryan-doghman" TargetMode="External"/><Relationship Id="rId457" Type="http://schemas.openxmlformats.org/officeDocument/2006/relationships/hyperlink" Target="https://www.fotmob.com/players/1503398/mouhamadou-war" TargetMode="External"/><Relationship Id="rId458" Type="http://schemas.openxmlformats.org/officeDocument/2006/relationships/hyperlink" Target="https://www.fotmob.com/players/1781044/tyson-espy" TargetMode="External"/><Relationship Id="rId459" Type="http://schemas.openxmlformats.org/officeDocument/2006/relationships/hyperlink" Target="https://www.fotmob.com/players/924434/jaylin-lindsey" TargetMode="External"/><Relationship Id="rId460" Type="http://schemas.openxmlformats.org/officeDocument/2006/relationships/hyperlink" Target="https://www.fotmob.com/players/1769553/nicola-ciotta" TargetMode="External"/><Relationship Id="rId461" Type="http://schemas.openxmlformats.org/officeDocument/2006/relationships/hyperlink" Target="https://www.fotmob.com/players/1642676/grayson-doody" TargetMode="External"/><Relationship Id="rId462" Type="http://schemas.openxmlformats.org/officeDocument/2006/relationships/hyperlink" Target="https://www.fotmob.com/players/2042058/finn-o-brien" TargetMode="External"/><Relationship Id="rId463" Type="http://schemas.openxmlformats.org/officeDocument/2006/relationships/hyperlink" Target="https://www.fotmob.com/players/955005/stephen-kelly" TargetMode="External"/><Relationship Id="rId464" Type="http://schemas.openxmlformats.org/officeDocument/2006/relationships/hyperlink" Target="https://www.fotmob.com/players/1138504/christopher-hegardt" TargetMode="External"/><Relationship Id="rId465" Type="http://schemas.openxmlformats.org/officeDocument/2006/relationships/hyperlink" Target="https://www.fotmob.com/players/1614618/ousmane-sylla" TargetMode="External"/><Relationship Id="rId466" Type="http://schemas.openxmlformats.org/officeDocument/2006/relationships/hyperlink" Target="https://www.fotmob.com/players/1804503/efren-solis" TargetMode="External"/><Relationship Id="rId467" Type="http://schemas.openxmlformats.org/officeDocument/2006/relationships/hyperlink" Target="https://www.fotmob.com/players/1136257/marcelo-palomino" TargetMode="External"/><Relationship Id="rId468" Type="http://schemas.openxmlformats.org/officeDocument/2006/relationships/hyperlink" Target="https://www.fotmob.com/players/937937/kevin-partida" TargetMode="External"/><Relationship Id="rId469" Type="http://schemas.openxmlformats.org/officeDocument/2006/relationships/hyperlink" Target="https://www.fotmob.com/players/2221959/paul-ngoie" TargetMode="External"/><Relationship Id="rId470" Type="http://schemas.openxmlformats.org/officeDocument/2006/relationships/hyperlink" Target="https://www.fotmob.com/players/1472288/lyam-mackinnon" TargetMode="External"/><Relationship Id="rId471" Type="http://schemas.openxmlformats.org/officeDocument/2006/relationships/hyperlink" Target="https://www.fotmob.com/players/1634983/yaniv-bazini" TargetMode="External"/><Relationship Id="rId472" Type="http://schemas.openxmlformats.org/officeDocument/2006/relationships/hyperlink" Target="https://www.fotmob.com/players/738060/ethan-zubak" TargetMode="External"/><Relationship Id="rId473" Type="http://schemas.openxmlformats.org/officeDocument/2006/relationships/hyperlink" Target="https://www.fotmob.com/players/1756472/jamir-johnson" TargetMode="External"/><Relationship Id="rId474" Type="http://schemas.openxmlformats.org/officeDocument/2006/relationships/hyperlink" Target="https://www.fotmob.com/players/1439802/brandon-cambridge" TargetMode="External"/><Relationship Id="rId475" Type="http://schemas.openxmlformats.org/officeDocument/2006/relationships/hyperlink" Target="https://www.fotmob.com/players/1299720/mataeo-bunbury" TargetMode="External"/><Relationship Id="rId476" Type="http://schemas.openxmlformats.org/officeDocument/2006/relationships/hyperlink" Target="https://www.fotmob.com/players/1780592/apolo-marinch" TargetMode="External"/><Relationship Id="rId477" Type="http://schemas.openxmlformats.org/officeDocument/2006/relationships/hyperlink" Target="https://www.fotmob.com/players/1760451/sydney-wathuta" TargetMode="External"/><Relationship Id="rId478" Type="http://schemas.openxmlformats.org/officeDocument/2006/relationships/hyperlink" Target="https://www.fotmob.com/players/2068688/jerome-carter" TargetMode="External"/><Relationship Id="rId479" Type="http://schemas.openxmlformats.org/officeDocument/2006/relationships/hyperlink" Target="https://www.fotmob.com/players/2068689/joaquin-castro" TargetMode="External"/><Relationship Id="rId480" Type="http://schemas.openxmlformats.org/officeDocument/2006/relationships/hyperlink" Target="https://www.fotmob.com/players/2140685/elijah-nelson" TargetMode="External"/><Relationship Id="rId481" Type="http://schemas.openxmlformats.org/officeDocument/2006/relationships/hyperlink" Target="https://www.fotmob.com/players/278865/patrick-rakovsky" TargetMode="External"/><Relationship Id="rId482" Type="http://schemas.openxmlformats.org/officeDocument/2006/relationships/hyperlink" Target="https://www.fotmob.com/players/1205694/chituru-odunze" TargetMode="External"/><Relationship Id="rId483" Type="http://schemas.openxmlformats.org/officeDocument/2006/relationships/hyperlink" Target="https://www.fotmob.com/players/1793926/tristan-shaw" TargetMode="External"/><Relationship Id="rId484" Type="http://schemas.openxmlformats.org/officeDocument/2006/relationships/hyperlink" Target="https://www.fotmob.com/players/1188662/collin-smith" TargetMode="External"/><Relationship Id="rId485" Type="http://schemas.openxmlformats.org/officeDocument/2006/relationships/hyperlink" Target="https://www.fotmob.com/players/1341109/luke-biasi" TargetMode="External"/><Relationship Id="rId486" Type="http://schemas.openxmlformats.org/officeDocument/2006/relationships/hyperlink" Target="https://www.fotmob.com/players/1611497/pape-boye" TargetMode="External"/><Relationship Id="rId487" Type="http://schemas.openxmlformats.org/officeDocument/2006/relationships/hyperlink" Target="https://www.fotmob.com/players/1190668/daniel-flores" TargetMode="External"/><Relationship Id="rId488" Type="http://schemas.openxmlformats.org/officeDocument/2006/relationships/hyperlink" Target="https://www.fotmob.com/players/1276594/ascel-essengue" TargetMode="External"/><Relationship Id="rId489" Type="http://schemas.openxmlformats.org/officeDocument/2006/relationships/hyperlink" Target="https://www.fotmob.com/players/1611869/adrian-pelayo" TargetMode="External"/><Relationship Id="rId490" Type="http://schemas.openxmlformats.org/officeDocument/2006/relationships/hyperlink" Target="https://www.fotmob.com/players/335412/rafael-czichos" TargetMode="External"/><Relationship Id="rId491" Type="http://schemas.openxmlformats.org/officeDocument/2006/relationships/hyperlink" Target="https://www.fotmob.com/players/1025951/tate-schmitt" TargetMode="External"/><Relationship Id="rId492" Type="http://schemas.openxmlformats.org/officeDocument/2006/relationships/hyperlink" Target="https://www.fotmob.com/players/1927872/eziah-ramirez" TargetMode="External"/><Relationship Id="rId493" Type="http://schemas.openxmlformats.org/officeDocument/2006/relationships/hyperlink" Target="https://www.fotmob.com/players/1933245/jackson-gaydon" TargetMode="External"/><Relationship Id="rId494" Type="http://schemas.openxmlformats.org/officeDocument/2006/relationships/hyperlink" Target="https://www.fotmob.com/players/1975689/noah-cross" TargetMode="External"/><Relationship Id="rId495" Type="http://schemas.openxmlformats.org/officeDocument/2006/relationships/hyperlink" Target="https://www.fotmob.com/players/1732593/pierce-rizzo" TargetMode="External"/><Relationship Id="rId496" Type="http://schemas.openxmlformats.org/officeDocument/2006/relationships/hyperlink" Target="https://www.fotmob.com/players/1178826/john-scearce" TargetMode="External"/><Relationship Id="rId497" Type="http://schemas.openxmlformats.org/officeDocument/2006/relationships/hyperlink" Target="https://www.fotmob.com/players/1583143/jean-moursou" TargetMode="External"/><Relationship Id="rId498" Type="http://schemas.openxmlformats.org/officeDocument/2006/relationships/hyperlink" Target="https://www.fotmob.com/players/1327189/diego-gomez" TargetMode="External"/><Relationship Id="rId499" Type="http://schemas.openxmlformats.org/officeDocument/2006/relationships/hyperlink" Target="https://www.fotmob.com/players/1433071/juan-torres" TargetMode="External"/><Relationship Id="rId500" Type="http://schemas.openxmlformats.org/officeDocument/2006/relationships/hyperlink" Target="https://www.fotmob.com/players/1921660/jaethan-irwin" TargetMode="External"/><Relationship Id="rId501" Type="http://schemas.openxmlformats.org/officeDocument/2006/relationships/hyperlink" Target="https://www.fotmob.com/players/756429/ihsan-sacko" TargetMode="External"/><Relationship Id="rId502" Type="http://schemas.openxmlformats.org/officeDocument/2006/relationships/hyperlink" Target="https://www.fotmob.com/players/1346891/hope-avayevu" TargetMode="External"/><Relationship Id="rId503" Type="http://schemas.openxmlformats.org/officeDocument/2006/relationships/hyperlink" Target="https://www.fotmob.com/players/621537/dominique-badji" TargetMode="External"/><Relationship Id="rId504" Type="http://schemas.openxmlformats.org/officeDocument/2006/relationships/hyperlink" Target="https://www.fotmob.com/players/1240740/gunnar-studenhofft" TargetMode="External"/><Relationship Id="rId505" Type="http://schemas.openxmlformats.org/officeDocument/2006/relationships/hyperlink" Target="https://www.fotmob.com/players/1136412/damian-rivera" TargetMode="External"/><Relationship Id="rId506" Type="http://schemas.openxmlformats.org/officeDocument/2006/relationships/hyperlink" Target="https://www.fotmob.com/players/794855/kelvin-arase" TargetMode="External"/><Relationship Id="rId507" Type="http://schemas.openxmlformats.org/officeDocument/2006/relationships/hyperlink" Target="https://www.fotmob.com/players/2090275/conrad-ambursley" TargetMode="External"/><Relationship Id="rId508" Type="http://schemas.openxmlformats.org/officeDocument/2006/relationships/hyperlink" Target="https://www.fotmob.com/players/1780761/anthony-capetillo-hernandez" TargetMode="External"/><Relationship Id="rId509" Type="http://schemas.openxmlformats.org/officeDocument/2006/relationships/hyperlink" Target="https://www.fotmob.com/players/1732592/cyrus-kowall" TargetMode="External"/><Relationship Id="rId510" Type="http://schemas.openxmlformats.org/officeDocument/2006/relationships/hyperlink" Target="https://www.fotmob.com/players/1751994/alexander-balanzar-de-la-cruz" TargetMode="External"/><Relationship Id="rId511" Type="http://schemas.openxmlformats.org/officeDocument/2006/relationships/hyperlink" Target="https://www.fotmob.com/players/1348321/nico-campuzano" TargetMode="External"/><Relationship Id="rId512" Type="http://schemas.openxmlformats.org/officeDocument/2006/relationships/hyperlink" Target="https://www.fotmob.com/players/1780451/mike-sheridan" TargetMode="External"/><Relationship Id="rId513" Type="http://schemas.openxmlformats.org/officeDocument/2006/relationships/hyperlink" Target="https://www.fotmob.com/players/1171004/mitchell-budler" TargetMode="External"/><Relationship Id="rId514" Type="http://schemas.openxmlformats.org/officeDocument/2006/relationships/hyperlink" Target="https://www.fotmob.com/players/1500406/victor-souza" TargetMode="External"/><Relationship Id="rId515" Type="http://schemas.openxmlformats.org/officeDocument/2006/relationships/hyperlink" Target="https://www.fotmob.com/players/1919812/owen-mikoy" TargetMode="External"/><Relationship Id="rId516" Type="http://schemas.openxmlformats.org/officeDocument/2006/relationships/hyperlink" Target="https://www.fotmob.com/players/1724749/perrin-barnes" TargetMode="External"/><Relationship Id="rId517" Type="http://schemas.openxmlformats.org/officeDocument/2006/relationships/hyperlink" Target="https://www.fotmob.com/players/1919811/lasse-kelp" TargetMode="External"/><Relationship Id="rId518" Type="http://schemas.openxmlformats.org/officeDocument/2006/relationships/hyperlink" Target="https://www.fotmob.com/players/1649306/beto-ydrach" TargetMode="External"/><Relationship Id="rId519" Type="http://schemas.openxmlformats.org/officeDocument/2006/relationships/hyperlink" Target="https://www.fotmob.com/players/1460328/illal-osumanu" TargetMode="External"/><Relationship Id="rId520" Type="http://schemas.openxmlformats.org/officeDocument/2006/relationships/hyperlink" Target="https://www.fotmob.com/players/1751990/guillaume-vacter" TargetMode="External"/><Relationship Id="rId521" Type="http://schemas.openxmlformats.org/officeDocument/2006/relationships/hyperlink" Target="https://www.fotmob.com/players/1169433/danny-griffin" TargetMode="External"/><Relationship Id="rId522" Type="http://schemas.openxmlformats.org/officeDocument/2006/relationships/hyperlink" Target="https://www.fotmob.com/players/1060363/robbie-mertz" TargetMode="External"/><Relationship Id="rId523" Type="http://schemas.openxmlformats.org/officeDocument/2006/relationships/hyperlink" Target="https://www.fotmob.com/players/1724751/charles-ahl" TargetMode="External"/><Relationship Id="rId524" Type="http://schemas.openxmlformats.org/officeDocument/2006/relationships/hyperlink" Target="https://www.fotmob.com/players/1710552/sam-bassett" TargetMode="External"/><Relationship Id="rId525" Type="http://schemas.openxmlformats.org/officeDocument/2006/relationships/hyperlink" Target="https://www.fotmob.com/players/1502991/jackson-walti" TargetMode="External"/><Relationship Id="rId526" Type="http://schemas.openxmlformats.org/officeDocument/2006/relationships/hyperlink" Target="https://www.fotmob.com/players/962320/eliot-goldthorp" TargetMode="External"/><Relationship Id="rId527" Type="http://schemas.openxmlformats.org/officeDocument/2006/relationships/hyperlink" Target="https://www.fotmob.com/players/1919814/max-viera" TargetMode="External"/><Relationship Id="rId528" Type="http://schemas.openxmlformats.org/officeDocument/2006/relationships/hyperlink" Target="https://www.fotmob.com/players/820312/junior-etou" TargetMode="External"/><Relationship Id="rId529" Type="http://schemas.openxmlformats.org/officeDocument/2006/relationships/hyperlink" Target="https://www.fotmob.com/players/1615769/bradley-sample" TargetMode="External"/><Relationship Id="rId530" Type="http://schemas.openxmlformats.org/officeDocument/2006/relationships/hyperlink" Target="https://www.fotmob.com/players/1626995/yu-tsukanome" TargetMode="External"/><Relationship Id="rId531" Type="http://schemas.openxmlformats.org/officeDocument/2006/relationships/hyperlink" Target="https://www.fotmob.com/players/1724750/jorge-garcia" TargetMode="External"/><Relationship Id="rId532" Type="http://schemas.openxmlformats.org/officeDocument/2006/relationships/hyperlink" Target="https://www.fotmob.com/players/839198/albert-dikwa" TargetMode="External"/><Relationship Id="rId533" Type="http://schemas.openxmlformats.org/officeDocument/2006/relationships/hyperlink" Target="https://www.fotmob.com/players/1367350/trevor-amann" TargetMode="External"/><Relationship Id="rId534" Type="http://schemas.openxmlformats.org/officeDocument/2006/relationships/hyperlink" Target="https://www.fotmob.com/players/1919816/aldair-flowers" TargetMode="External"/><Relationship Id="rId535" Type="http://schemas.openxmlformats.org/officeDocument/2006/relationships/hyperlink" Target="https://www.fotmob.com/players/785824/koke-vegas" TargetMode="External"/><Relationship Id="rId536" Type="http://schemas.openxmlformats.org/officeDocument/2006/relationships/hyperlink" Target="https://www.fotmob.com/players/1083221/jacob-castro" TargetMode="External"/><Relationship Id="rId537" Type="http://schemas.openxmlformats.org/officeDocument/2006/relationships/hyperlink" Target="https://www.fotmob.com/players/1366199/will-meyer" TargetMode="External"/><Relationship Id="rId538" Type="http://schemas.openxmlformats.org/officeDocument/2006/relationships/hyperlink" Target="https://www.fotmob.com/players/1287564/frank-nodarse" TargetMode="External"/><Relationship Id="rId539" Type="http://schemas.openxmlformats.org/officeDocument/2006/relationships/hyperlink" Target="https://www.fotmob.com/players/1042584/grant-stoneman" TargetMode="External"/><Relationship Id="rId540" Type="http://schemas.openxmlformats.org/officeDocument/2006/relationships/hyperlink" Target="https://www.fotmob.com/players/1082990/nick-scardina" TargetMode="External"/><Relationship Id="rId541" Type="http://schemas.openxmlformats.org/officeDocument/2006/relationships/hyperlink" Target="https://www.fotmob.com/players/1058360/karifa-yao" TargetMode="External"/><Relationship Id="rId542" Type="http://schemas.openxmlformats.org/officeDocument/2006/relationships/hyperlink" Target="https://www.fotmob.com/players/1448501/aldair-sanchez" TargetMode="External"/><Relationship Id="rId543" Type="http://schemas.openxmlformats.org/officeDocument/2006/relationships/hyperlink" Target="https://www.fotmob.com/players/1082967/dani-rovira" TargetMode="External"/><Relationship Id="rId544" Type="http://schemas.openxmlformats.org/officeDocument/2006/relationships/hyperlink" Target="https://www.fotmob.com/players/1928321/calvin-williams" TargetMode="External"/><Relationship Id="rId545" Type="http://schemas.openxmlformats.org/officeDocument/2006/relationships/hyperlink" Target="https://www.fotmob.com/players/1516692/hugo-bacharach" TargetMode="External"/><Relationship Id="rId546" Type="http://schemas.openxmlformats.org/officeDocument/2006/relationships/hyperlink" Target="https://www.fotmob.com/players/1479926/amos-shapiro-thompson" TargetMode="External"/><Relationship Id="rId547" Type="http://schemas.openxmlformats.org/officeDocument/2006/relationships/hyperlink" Target="https://www.fotmob.com/players/1257379/agustin-rodriguez" TargetMode="External"/><Relationship Id="rId548" Type="http://schemas.openxmlformats.org/officeDocument/2006/relationships/hyperlink" Target="https://www.fotmob.com/players/1199737/noah-fuson" TargetMode="External"/><Relationship Id="rId549" Type="http://schemas.openxmlformats.org/officeDocument/2006/relationships/hyperlink" Target="https://www.fotmob.com/players/1348492/dwayne-atkinson" TargetMode="External"/><Relationship Id="rId550" Type="http://schemas.openxmlformats.org/officeDocument/2006/relationships/hyperlink" Target="https://www.fotmob.com/players/729986/zach-herivaux" TargetMode="External"/><Relationship Id="rId551" Type="http://schemas.openxmlformats.org/officeDocument/2006/relationships/hyperlink" Target="https://www.fotmob.com/players/1647608/eric-klein" TargetMode="External"/><Relationship Id="rId552" Type="http://schemas.openxmlformats.org/officeDocument/2006/relationships/hyperlink" Target="https://www.fotmob.com/players/1615759/kevin-vang" TargetMode="External"/><Relationship Id="rId553" Type="http://schemas.openxmlformats.org/officeDocument/2006/relationships/hyperlink" Target="https://www.fotmob.com/players/2263374/kevin-medina" TargetMode="External"/><Relationship Id="rId554" Type="http://schemas.openxmlformats.org/officeDocument/2006/relationships/hyperlink" Target="https://www.fotmob.com/players/1357481/jojea-kwizera" TargetMode="External"/><Relationship Id="rId555" Type="http://schemas.openxmlformats.org/officeDocument/2006/relationships/hyperlink" Target="https://www.fotmob.com/players/1600846/leo-afonso" TargetMode="External"/><Relationship Id="rId556" Type="http://schemas.openxmlformats.org/officeDocument/2006/relationships/hyperlink" Target="https://www.fotmob.com/players/1624044/yutaro-tsukada" TargetMode="External"/><Relationship Id="rId557" Type="http://schemas.openxmlformats.org/officeDocument/2006/relationships/hyperlink" Target="https://www.fotmob.com/players/1515624/stas-korzeniowski" TargetMode="External"/><Relationship Id="rId558" Type="http://schemas.openxmlformats.org/officeDocument/2006/relationships/hyperlink" Target="https://www.fotmob.com/players/1292844/osman-foyo" TargetMode="External"/><Relationship Id="rId559" Type="http://schemas.openxmlformats.org/officeDocument/2006/relationships/hyperlink" Target="https://www.fotmob.com/players/1355804/jamin-gogo-peters" TargetMode="External"/><Relationship Id="rId560" Type="http://schemas.openxmlformats.org/officeDocument/2006/relationships/hyperlink" Target="https://www.fotmob.com/players/1843221/nikolai-pierre" TargetMode="External"/><Relationship Id="rId561" Type="http://schemas.openxmlformats.org/officeDocument/2006/relationships/hyperlink" Target="https://www.fotmob.com/players/1923039/cai-anthony-mclean" TargetMode="External"/><Relationship Id="rId562" Type="http://schemas.openxmlformats.org/officeDocument/2006/relationships/hyperlink" Target="https://www.fotmob.com/players/1079451/danny-vitiello" TargetMode="External"/><Relationship Id="rId563" Type="http://schemas.openxmlformats.org/officeDocument/2006/relationships/hyperlink" Target="https://www.fotmob.com/players/1615772/jacob-randolph" TargetMode="External"/><Relationship Id="rId564" Type="http://schemas.openxmlformats.org/officeDocument/2006/relationships/hyperlink" Target="https://www.fotmob.com/players/1997450/brooks-doolittle" TargetMode="External"/><Relationship Id="rId565" Type="http://schemas.openxmlformats.org/officeDocument/2006/relationships/hyperlink" Target="https://www.fotmob.com/players/556023/lee-desmond" TargetMode="External"/><Relationship Id="rId566" Type="http://schemas.openxmlformats.org/officeDocument/2006/relationships/hyperlink" Target="https://www.fotmob.com/players/1170733/jack-gurr" TargetMode="External"/><Relationship Id="rId567" Type="http://schemas.openxmlformats.org/officeDocument/2006/relationships/hyperlink" Target="https://www.fotmob.com/players/1172907/jared-timmer" TargetMode="External"/><Relationship Id="rId568" Type="http://schemas.openxmlformats.org/officeDocument/2006/relationships/hyperlink" Target="https://www.fotmob.com/players/772825/michelle-benitez" TargetMode="External"/><Relationship Id="rId569" Type="http://schemas.openxmlformats.org/officeDocument/2006/relationships/hyperlink" Target="https://www.fotmob.com/players/1195444/ryan-spaulding" TargetMode="External"/><Relationship Id="rId570" Type="http://schemas.openxmlformats.org/officeDocument/2006/relationships/hyperlink" Target="https://www.fotmob.com/players/1246735/freddy-kleemann" TargetMode="External"/><Relationship Id="rId571" Type="http://schemas.openxmlformats.org/officeDocument/2006/relationships/hyperlink" Target="https://www.fotmob.com/players/1320050/aaron-essel" TargetMode="External"/><Relationship Id="rId572" Type="http://schemas.openxmlformats.org/officeDocument/2006/relationships/hyperlink" Target="https://www.fotmob.com/players/458997/tim-leibold" TargetMode="External"/><Relationship Id="rId573" Type="http://schemas.openxmlformats.org/officeDocument/2006/relationships/hyperlink" Target="https://www.fotmob.com/players/1921663/rohan-chivukula" TargetMode="External"/><Relationship Id="rId574" Type="http://schemas.openxmlformats.org/officeDocument/2006/relationships/hyperlink" Target="https://www.fotmob.com/players/1938739/reid-paskey" TargetMode="External"/><Relationship Id="rId575" Type="http://schemas.openxmlformats.org/officeDocument/2006/relationships/hyperlink" Target="https://www.fotmob.com/players/1073942/danny-crisostomo" TargetMode="External"/><Relationship Id="rId576" Type="http://schemas.openxmlformats.org/officeDocument/2006/relationships/hyperlink" Target="https://www.fotmob.com/players/621886/memo-rodriguez" TargetMode="External"/><Relationship Id="rId577" Type="http://schemas.openxmlformats.org/officeDocument/2006/relationships/hyperlink" Target="https://www.fotmob.com/players/1520638/blake-willey" TargetMode="External"/><Relationship Id="rId578" Type="http://schemas.openxmlformats.org/officeDocument/2006/relationships/hyperlink" Target="https://www.fotmob.com/players/632748/mark-anthony-kaye" TargetMode="External"/><Relationship Id="rId579" Type="http://schemas.openxmlformats.org/officeDocument/2006/relationships/hyperlink" Target="https://www.fotmob.com/players/1644458/alfredo-midence" TargetMode="External"/><Relationship Id="rId580" Type="http://schemas.openxmlformats.org/officeDocument/2006/relationships/hyperlink" Target="https://www.fotmob.com/players/1626273/pep-casas" TargetMode="External"/><Relationship Id="rId581" Type="http://schemas.openxmlformats.org/officeDocument/2006/relationships/hyperlink" Target="https://www.fotmob.com/players/1178821/mayele-malango" TargetMode="External"/><Relationship Id="rId582" Type="http://schemas.openxmlformats.org/officeDocument/2006/relationships/hyperlink" Target="https://www.fotmob.com/players/1600917/forster-ajago" TargetMode="External"/><Relationship Id="rId583" Type="http://schemas.openxmlformats.org/officeDocument/2006/relationships/hyperlink" Target="https://www.fotmob.com/players/1056536/arturo-rodriguez" TargetMode="External"/><Relationship Id="rId584" Type="http://schemas.openxmlformats.org/officeDocument/2006/relationships/hyperlink" Target="https://www.fotmob.com/players/1166552/tyler-wolff" TargetMode="External"/><Relationship Id="rId585" Type="http://schemas.openxmlformats.org/officeDocument/2006/relationships/hyperlink" Target="https://www.fotmob.com/players/647068/kyle-edwards" TargetMode="External"/><Relationship Id="rId586" Type="http://schemas.openxmlformats.org/officeDocument/2006/relationships/hyperlink" Target="https://www.fotmob.com/players/1169331/cal-jennings" TargetMode="External"/><Relationship Id="rId587" Type="http://schemas.openxmlformats.org/officeDocument/2006/relationships/hyperlink" Target="https://www.fotmob.com/players/1724710/joseph-batrouni" TargetMode="External"/><Relationship Id="rId588" Type="http://schemas.openxmlformats.org/officeDocument/2006/relationships/hyperlink" Target="https://www.fotmob.com/players/254962/richard-sanchez" TargetMode="External"/><Relationship Id="rId589" Type="http://schemas.openxmlformats.org/officeDocument/2006/relationships/hyperlink" Target="https://www.fotmob.com/players/1727117/daniel-namani" TargetMode="External"/><Relationship Id="rId590" Type="http://schemas.openxmlformats.org/officeDocument/2006/relationships/hyperlink" Target="https://www.fotmob.com/players/1828190/victor-velazquez" TargetMode="External"/><Relationship Id="rId591" Type="http://schemas.openxmlformats.org/officeDocument/2006/relationships/hyperlink" Target="https://www.fotmob.com/players/1025952/akeem-ward" TargetMode="External"/><Relationship Id="rId592" Type="http://schemas.openxmlformats.org/officeDocument/2006/relationships/hyperlink" Target="https://www.fotmob.com/players/776966/mitchell-taintor" TargetMode="External"/><Relationship Id="rId593" Type="http://schemas.openxmlformats.org/officeDocument/2006/relationships/hyperlink" Target="https://www.fotmob.com/players/825695/alex-crognale" TargetMode="External"/><Relationship Id="rId594" Type="http://schemas.openxmlformats.org/officeDocument/2006/relationships/hyperlink" Target="https://www.fotmob.com/players/1026067/emil-cuello" TargetMode="External"/><Relationship Id="rId595" Type="http://schemas.openxmlformats.org/officeDocument/2006/relationships/hyperlink" Target="https://www.fotmob.com/players/1344756/santiago-suarez" TargetMode="External"/><Relationship Id="rId596" Type="http://schemas.openxmlformats.org/officeDocument/2006/relationships/hyperlink" Target="https://www.fotmob.com/players/760331/daniel-barbir" TargetMode="External"/><Relationship Id="rId597" Type="http://schemas.openxmlformats.org/officeDocument/2006/relationships/hyperlink" Target="https://www.fotmob.com/players/1175223/nelson-flores" TargetMode="External"/><Relationship Id="rId598" Type="http://schemas.openxmlformats.org/officeDocument/2006/relationships/hyperlink" Target="https://www.fotmob.com/players/952169/alexis-souahy" TargetMode="External"/><Relationship Id="rId599" Type="http://schemas.openxmlformats.org/officeDocument/2006/relationships/hyperlink" Target="https://www.fotmob.com/players/1026110/rece-buckmaster" TargetMode="External"/><Relationship Id="rId600" Type="http://schemas.openxmlformats.org/officeDocument/2006/relationships/hyperlink" Target="https://www.fotmob.com/players/1921659/angel-mercado" TargetMode="External"/><Relationship Id="rId601" Type="http://schemas.openxmlformats.org/officeDocument/2006/relationships/hyperlink" Target="https://www.fotmob.com/players/1376134/mikey-maldonado" TargetMode="External"/><Relationship Id="rId602" Type="http://schemas.openxmlformats.org/officeDocument/2006/relationships/hyperlink" Target="https://www.fotmob.com/players/971585/jorge-hernandez" TargetMode="External"/><Relationship Id="rId603" Type="http://schemas.openxmlformats.org/officeDocument/2006/relationships/hyperlink" Target="https://www.fotmob.com/players/934891/cristian-parano" TargetMode="External"/><Relationship Id="rId604" Type="http://schemas.openxmlformats.org/officeDocument/2006/relationships/hyperlink" Target="https://www.fotmob.com/players/1727112/lucio-berron" TargetMode="External"/><Relationship Id="rId605" Type="http://schemas.openxmlformats.org/officeDocument/2006/relationships/hyperlink" Target="https://www.fotmob.com/players/1760419/curt-calov" TargetMode="External"/><Relationship Id="rId606" Type="http://schemas.openxmlformats.org/officeDocument/2006/relationships/hyperlink" Target="https://www.fotmob.com/players/1197526/nicky-hernandez" TargetMode="External"/><Relationship Id="rId607" Type="http://schemas.openxmlformats.org/officeDocument/2006/relationships/hyperlink" Target="https://www.fotmob.com/players/1064711/christian-sorto" TargetMode="External"/><Relationship Id="rId608" Type="http://schemas.openxmlformats.org/officeDocument/2006/relationships/hyperlink" Target="https://www.fotmob.com/players/1026107/santiago-patino" TargetMode="External"/><Relationship Id="rId609" Type="http://schemas.openxmlformats.org/officeDocument/2006/relationships/hyperlink" Target="https://www.fotmob.com/players/1355567/diogo-pacheco" TargetMode="External"/><Relationship Id="rId610" Type="http://schemas.openxmlformats.org/officeDocument/2006/relationships/hyperlink" Target="https://www.fotmob.com/players/1166264/luke-haakenson" TargetMode="External"/><Relationship Id="rId611" Type="http://schemas.openxmlformats.org/officeDocument/2006/relationships/hyperlink" Target="https://www.fotmob.com/players/1601768/lilian-ricol" TargetMode="External"/><Relationship Id="rId612" Type="http://schemas.openxmlformats.org/officeDocument/2006/relationships/hyperlink" Target="https://www.fotmob.com/players/1435963/luis-paredes" TargetMode="External"/><Relationship Id="rId613" Type="http://schemas.openxmlformats.org/officeDocument/2006/relationships/hyperlink" Target="https://www.fotmob.com/players/1330000/alex-greive" TargetMode="External"/><Relationship Id="rId614" Type="http://schemas.openxmlformats.org/officeDocument/2006/relationships/hyperlink" Target="https://www.fotmob.com/players/1800681/leonides-urrutia" TargetMode="External"/><Relationship Id="rId615" Type="http://schemas.openxmlformats.org/officeDocument/2006/relationships/hyperlink" Target="https://www.fotmob.com/players/825635/jake-mcguire" TargetMode="External"/><Relationship Id="rId616" Type="http://schemas.openxmlformats.org/officeDocument/2006/relationships/hyperlink" Target="https://www.fotmob.com/players/1919892/juan-casas" TargetMode="External"/><Relationship Id="rId617" Type="http://schemas.openxmlformats.org/officeDocument/2006/relationships/hyperlink" Target="https://www.fotmob.com/players/1187155/harvey-neville" TargetMode="External"/><Relationship Id="rId618" Type="http://schemas.openxmlformats.org/officeDocument/2006/relationships/hyperlink" Target="https://www.fotmob.com/players/330468/ryan-edwards" TargetMode="External"/><Relationship Id="rId619" Type="http://schemas.openxmlformats.org/officeDocument/2006/relationships/hyperlink" Target="https://www.fotmob.com/players/1470132/tyshawn-rose" TargetMode="External"/><Relationship Id="rId620" Type="http://schemas.openxmlformats.org/officeDocument/2006/relationships/hyperlink" Target="https://www.fotmob.com/players/1617267/antonio-gomez" TargetMode="External"/><Relationship Id="rId621" Type="http://schemas.openxmlformats.org/officeDocument/2006/relationships/hyperlink" Target="https://www.fotmob.com/players/1059395/wahab-ackwei" TargetMode="External"/><Relationship Id="rId622" Type="http://schemas.openxmlformats.org/officeDocument/2006/relationships/hyperlink" Target="https://www.fotmob.com/players/168308/danny-wilson" TargetMode="External"/><Relationship Id="rId623" Type="http://schemas.openxmlformats.org/officeDocument/2006/relationships/hyperlink" Target="https://www.fotmob.com/players/1346880/dida-armstrong" TargetMode="External"/><Relationship Id="rId624" Type="http://schemas.openxmlformats.org/officeDocument/2006/relationships/hyperlink" Target="https://www.fotmob.com/players/1177861/mohamed-traore" TargetMode="External"/><Relationship Id="rId625" Type="http://schemas.openxmlformats.org/officeDocument/2006/relationships/hyperlink" Target="https://www.fotmob.com/players/658133/marcus-godinho" TargetMode="External"/><Relationship Id="rId626" Type="http://schemas.openxmlformats.org/officeDocument/2006/relationships/hyperlink" Target="https://www.fotmob.com/players/415706/ventura-alvarado" TargetMode="External"/><Relationship Id="rId627" Type="http://schemas.openxmlformats.org/officeDocument/2006/relationships/hyperlink" Target="https://www.fotmob.com/players/1676058/ethan-dudley" TargetMode="External"/><Relationship Id="rId628" Type="http://schemas.openxmlformats.org/officeDocument/2006/relationships/hyperlink" Target="https://www.fotmob.com/players/516002/jordan-rossiter" TargetMode="External"/><Relationship Id="rId629" Type="http://schemas.openxmlformats.org/officeDocument/2006/relationships/hyperlink" Target="https://www.fotmob.com/players/495686/edgardo-rito" TargetMode="External"/><Relationship Id="rId630" Type="http://schemas.openxmlformats.org/officeDocument/2006/relationships/hyperlink" Target="https://www.fotmob.com/players/941737/wan-kuzain" TargetMode="External"/><Relationship Id="rId631" Type="http://schemas.openxmlformats.org/officeDocument/2006/relationships/hyperlink" Target="https://www.fotmob.com/players/1562361/rafferty-pedder" TargetMode="External"/><Relationship Id="rId632" Type="http://schemas.openxmlformats.org/officeDocument/2006/relationships/hyperlink" Target="https://www.fotmob.com/players/855399/raheem-somersall" TargetMode="External"/><Relationship Id="rId633" Type="http://schemas.openxmlformats.org/officeDocument/2006/relationships/hyperlink" Target="https://www.fotmob.com/players/1026054/thomas-roberts" TargetMode="External"/><Relationship Id="rId634" Type="http://schemas.openxmlformats.org/officeDocument/2006/relationships/hyperlink" Target="https://www.fotmob.com/players/305454/jean-mota" TargetMode="External"/><Relationship Id="rId635" Type="http://schemas.openxmlformats.org/officeDocument/2006/relationships/hyperlink" Target="https://www.fotmob.com/players/562876/brem-soumaoro" TargetMode="External"/><Relationship Id="rId636" Type="http://schemas.openxmlformats.org/officeDocument/2006/relationships/hyperlink" Target="https://www.fotmob.com/players/1658520/ezekiel-soto" TargetMode="External"/><Relationship Id="rId637" Type="http://schemas.openxmlformats.org/officeDocument/2006/relationships/hyperlink" Target="https://www.fotmob.com/players/1348312/jacob-evans" TargetMode="External"/><Relationship Id="rId638" Type="http://schemas.openxmlformats.org/officeDocument/2006/relationships/hyperlink" Target="https://www.fotmob.com/players/1530723/jack-proctor" TargetMode="External"/><Relationship Id="rId639" Type="http://schemas.openxmlformats.org/officeDocument/2006/relationships/hyperlink" Target="https://www.fotmob.com/players/1975687/ethan-underwood" TargetMode="External"/><Relationship Id="rId640" Type="http://schemas.openxmlformats.org/officeDocument/2006/relationships/hyperlink" Target="https://www.fotmob.com/players/1075184/emil-jaaskelainen" TargetMode="External"/><Relationship Id="rId641" Type="http://schemas.openxmlformats.org/officeDocument/2006/relationships/hyperlink" Target="https://www.fotmob.com/players/614458/kieran-sadlier" TargetMode="External"/><Relationship Id="rId642" Type="http://schemas.openxmlformats.org/officeDocument/2006/relationships/hyperlink" Target="https://www.fotmob.com/players/1727104/ahmad-al-qaq" TargetMode="External"/><Relationship Id="rId643" Type="http://schemas.openxmlformats.org/officeDocument/2006/relationships/hyperlink" Target="https://www.fotmob.com/players/1082254/luc-granitur" TargetMode="External"/><Relationship Id="rId644" Type="http://schemas.openxmlformats.org/officeDocument/2006/relationships/hyperlink" Target="https://www.fotmob.com/players/1727106/adam-luckhurst" TargetMode="External"/><Relationship Id="rId645" Type="http://schemas.openxmlformats.org/officeDocument/2006/relationships/hyperlink" Target="https://www.fotmob.com/players/1352794/jahmali-waite" TargetMode="External"/><Relationship Id="rId646" Type="http://schemas.openxmlformats.org/officeDocument/2006/relationships/hyperlink" Target="https://www.fotmob.com/players/1082962/austin-pack" TargetMode="External"/><Relationship Id="rId647" Type="http://schemas.openxmlformats.org/officeDocument/2006/relationships/hyperlink" Target="https://www.fotmob.com/players/1338695/nathan-dossantos" TargetMode="External"/><Relationship Id="rId648" Type="http://schemas.openxmlformats.org/officeDocument/2006/relationships/hyperlink" Target="https://www.fotmob.com/players/1338618/charlie-ostrem" TargetMode="External"/><Relationship Id="rId649" Type="http://schemas.openxmlformats.org/officeDocument/2006/relationships/hyperlink" Target="https://www.fotmob.com/players/650320/dion-acoff" TargetMode="External"/><Relationship Id="rId650" Type="http://schemas.openxmlformats.org/officeDocument/2006/relationships/hyperlink" Target="https://www.fotmob.com/players/1652661/brian-schaefer" TargetMode="External"/><Relationship Id="rId651" Type="http://schemas.openxmlformats.org/officeDocument/2006/relationships/hyperlink" Target="https://www.fotmob.com/players/1056524/laurence-wyke" TargetMode="External"/><Relationship Id="rId652" Type="http://schemas.openxmlformats.org/officeDocument/2006/relationships/hyperlink" Target="https://www.fotmob.com/players/1246605/ethan-bartlow" TargetMode="External"/><Relationship Id="rId653" Type="http://schemas.openxmlformats.org/officeDocument/2006/relationships/hyperlink" Target="https://www.fotmob.com/players/1338617/yanis-leerman" TargetMode="External"/><Relationship Id="rId654" Type="http://schemas.openxmlformats.org/officeDocument/2006/relationships/hyperlink" Target="https://www.fotmob.com/players/1057835/leland-archer" TargetMode="External"/><Relationship Id="rId655" Type="http://schemas.openxmlformats.org/officeDocument/2006/relationships/hyperlink" Target="https://www.fotmob.com/players/960597/gennaro-nigro" TargetMode="External"/><Relationship Id="rId656" Type="http://schemas.openxmlformats.org/officeDocument/2006/relationships/hyperlink" Target="https://www.fotmob.com/players/1744398/alexander-rodriguez" TargetMode="External"/><Relationship Id="rId657" Type="http://schemas.openxmlformats.org/officeDocument/2006/relationships/hyperlink" Target="https://www.fotmob.com/players/1921658/jesse-tita" TargetMode="External"/><Relationship Id="rId658" Type="http://schemas.openxmlformats.org/officeDocument/2006/relationships/hyperlink" Target="https://www.fotmob.com/players/1346878/max-schneider" TargetMode="External"/><Relationship Id="rId659" Type="http://schemas.openxmlformats.org/officeDocument/2006/relationships/hyperlink" Target="https://www.fotmob.com/players/1463253/sebastian-cruz" TargetMode="External"/><Relationship Id="rId660" Type="http://schemas.openxmlformats.org/officeDocument/2006/relationships/hyperlink" Target="https://www.fotmob.com/players/1348303/pedro-dolabella" TargetMode="External"/><Relationship Id="rId661" Type="http://schemas.openxmlformats.org/officeDocument/2006/relationships/hyperlink" Target="https://www.fotmob.com/players/1253521/louis-perez" TargetMode="External"/><Relationship Id="rId662" Type="http://schemas.openxmlformats.org/officeDocument/2006/relationships/hyperlink" Target="https://www.fotmob.com/players/762335/lewis-hilton" TargetMode="External"/><Relationship Id="rId663" Type="http://schemas.openxmlformats.org/officeDocument/2006/relationships/hyperlink" Target="https://www.fotmob.com/players/847568/marco-micaletto" TargetMode="External"/><Relationship Id="rId664" Type="http://schemas.openxmlformats.org/officeDocument/2006/relationships/hyperlink" Target="https://www.fotmob.com/players/1463307/md-myers" TargetMode="External"/><Relationship Id="rId665" Type="http://schemas.openxmlformats.org/officeDocument/2006/relationships/hyperlink" Target="https://www.fotmob.com/players/858760/russell-cicerone" TargetMode="External"/><Relationship Id="rId666" Type="http://schemas.openxmlformats.org/officeDocument/2006/relationships/hyperlink" Target="https://www.fotmob.com/players/289441/jurgen-locadia" TargetMode="External"/><Relationship Id="rId667" Type="http://schemas.openxmlformats.org/officeDocument/2006/relationships/hyperlink" Target="https://www.fotmob.com/players/1173020/evan-conway" TargetMode="External"/><Relationship Id="rId668" Type="http://schemas.openxmlformats.org/officeDocument/2006/relationships/hyperlink" Target="https://www.fotmob.com/players/1615778/karsen-henderlong" TargetMode="External"/><Relationship Id="rId669" Type="http://schemas.openxmlformats.org/officeDocument/2006/relationships/hyperlink" Target="https://www.fotmob.com/players/1440020/gino-vivi" TargetMode="External"/><Relationship Id="rId670" Type="http://schemas.openxmlformats.org/officeDocument/2006/relationships/hyperlink" Target="https://www.fotmob.com/players/1626272/ramiz-hamouda" TargetMode="External"/><Relationship Id="rId671" Type="http://schemas.openxmlformats.org/officeDocument/2006/relationships/hyperlink" Target="https://www.fotmob.com/players/1440017/keegan-hughes" TargetMode="External"/><Relationship Id="rId672" Type="http://schemas.openxmlformats.org/officeDocument/2006/relationships/hyperlink" Target="https://www.fotmob.com/players/1360350/leo-duru" TargetMode="External"/><Relationship Id="rId673" Type="http://schemas.openxmlformats.org/officeDocument/2006/relationships/hyperlink" Target="https://www.fotmob.com/players/1732519/kayne-rizvanovich" TargetMode="External"/><Relationship Id="rId674" Type="http://schemas.openxmlformats.org/officeDocument/2006/relationships/hyperlink" Target="https://www.fotmob.com/players/1537807/markus-anderson" TargetMode="External"/><Relationship Id="rId675" Type="http://schemas.openxmlformats.org/officeDocument/2006/relationships/hyperlink" Target="https://www.fotmob.com/players/754585/shaan-hundal" TargetMode="External"/><Relationship Id="rId676" Type="http://schemas.openxmlformats.org/officeDocument/2006/relationships/hyperlink" Target="https://www.fotmob.com/players/1637900/medgy-alexandre" TargetMode="External"/><Relationship Id="rId677" Type="http://schemas.openxmlformats.org/officeDocument/2006/relationships/hyperlink" Target="https://www.fotmob.com/players/1780441/mukisa-kiingi" TargetMode="External"/><Relationship Id="rId678" Type="http://schemas.openxmlformats.org/officeDocument/2006/relationships/hyperlink" Target="https://www.fotmob.com/players/1439929/levonte-johnson" TargetMode="External"/><Relationship Id="rId679" Type="http://schemas.openxmlformats.org/officeDocument/2006/relationships/hyperlink" Target="https://www.fotmob.com/players/1346905/nelson-pierre" TargetMode="External"/><Relationship Id="rId680" Type="http://schemas.openxmlformats.org/officeDocument/2006/relationships/hyperlink" Target="https://www.fotmob.com/players/1413144/andres-hernandez" TargetMode="External"/><Relationship Id="rId681" Type="http://schemas.openxmlformats.org/officeDocument/2006/relationships/hyperlink" Target="https://www.fotmob.com/players/1615795/logan-neidlinger" TargetMode="External"/><Relationship Id="rId682" Type="http://schemas.openxmlformats.org/officeDocument/2006/relationships/hyperlink" Target="https://www.fotmob.com/players/1455815/mikah-thomas" TargetMode="External"/><Relationship Id="rId683" Type="http://schemas.openxmlformats.org/officeDocument/2006/relationships/hyperlink" Target="https://www.fotmob.com/players/1615718/jared-mazzola" TargetMode="External"/><Relationship Id="rId684" Type="http://schemas.openxmlformats.org/officeDocument/2006/relationships/hyperlink" Target="https://www.fotmob.com/players/729507/mason-stajduhar" TargetMode="External"/><Relationship Id="rId685" Type="http://schemas.openxmlformats.org/officeDocument/2006/relationships/hyperlink" Target="https://www.fotmob.com/players/1234692/elias-gartig" TargetMode="External"/><Relationship Id="rId686" Type="http://schemas.openxmlformats.org/officeDocument/2006/relationships/hyperlink" Target="https://www.fotmob.com/players/924442/handwalla-bwana" TargetMode="External"/><Relationship Id="rId687" Type="http://schemas.openxmlformats.org/officeDocument/2006/relationships/hyperlink" Target="https://www.fotmob.com/players/1082236/jahlane-forbes" TargetMode="External"/><Relationship Id="rId688" Type="http://schemas.openxmlformats.org/officeDocument/2006/relationships/hyperlink" Target="https://www.fotmob.com/players/1393570/nighte-pickering" TargetMode="External"/><Relationship Id="rId689" Type="http://schemas.openxmlformats.org/officeDocument/2006/relationships/hyperlink" Target="https://www.fotmob.com/players/825584/latif-blessing" TargetMode="External"/><Relationship Id="rId690" Type="http://schemas.openxmlformats.org/officeDocument/2006/relationships/hyperlink" Target="https://www.fotmob.com/players/1610216/adam-beaudry" TargetMode="External"/><Relationship Id="rId691" Type="http://schemas.openxmlformats.org/officeDocument/2006/relationships/hyperlink" Target="https://www.fotmob.com/players/907869/andres-souper" TargetMode="External"/><Relationship Id="rId692" Type="http://schemas.openxmlformats.org/officeDocument/2006/relationships/hyperlink" Target="https://www.fotmob.com/players/1195273/thorleifur-ulfarsson" TargetMode="External"/><Relationship Id="rId693" Type="http://schemas.openxmlformats.org/officeDocument/2006/relationships/hyperlink" Target="https://www.fotmob.com/players/1727114/brandon-bent" TargetMode="External"/><Relationship Id="rId694" Type="http://schemas.openxmlformats.org/officeDocument/2006/relationships/hyperlink" Target="https://www.fotmob.com/players/1082123/preston-kilwien" TargetMode="External"/><Relationship Id="rId695" Type="http://schemas.openxmlformats.org/officeDocument/2006/relationships/hyperlink" Target="https://www.fotmob.com/players/1791432/alexander-naranjo" TargetMode="External"/><Relationship Id="rId696" Type="http://schemas.openxmlformats.org/officeDocument/2006/relationships/hyperlink" Target="https://www.fotmob.com/players/1810538/mathieu-ndongo" TargetMode="External"/><Relationship Id="rId697" Type="http://schemas.openxmlformats.org/officeDocument/2006/relationships/hyperlink" Target="https://www.fotmob.com/players/1520422/chris-kevin-nadje" TargetMode="External"/><Relationship Id="rId698" Type="http://schemas.openxmlformats.org/officeDocument/2006/relationships/hyperlink" Target="https://www.fotmob.com/players/1353588/riley-bidois" TargetMode="External"/><Relationship Id="rId699" Type="http://schemas.openxmlformats.org/officeDocument/2006/relationships/hyperlink" Target="https://www.fotmob.com/players/1732772/anisse-saidi" TargetMode="External"/><Relationship Id="rId700" Type="http://schemas.openxmlformats.org/officeDocument/2006/relationships/hyperlink" Target="https://www.fotmob.com/players/1083230/will-seymore" TargetMode="External"/><Relationship Id="rId701" Type="http://schemas.openxmlformats.org/officeDocument/2006/relationships/hyperlink" Target="https://www.fotmob.com/players/1555153/arturo-astorga" TargetMode="External"/><Relationship Id="rId702" Type="http://schemas.openxmlformats.org/officeDocument/2006/relationships/hyperlink" Target="https://www.fotmob.com/players/1919758/joseph-melto-quiah" TargetMode="External"/><Relationship Id="rId703" Type="http://schemas.openxmlformats.org/officeDocument/2006/relationships/hyperlink" Target="https://www.fotmob.com/players/1638338/ali-elmasnaouy" TargetMode="External"/><Relationship Id="rId704" Type="http://schemas.openxmlformats.org/officeDocument/2006/relationships/hyperlink" Target="https://www.fotmob.com/players/1921668/bradley-roberson" TargetMode="External"/><Relationship Id="rId705" Type="http://schemas.openxmlformats.org/officeDocument/2006/relationships/hyperlink" Target="https://www.fotmob.com/players/1341114/jesse-maldonado" TargetMode="External"/><Relationship Id="rId706" Type="http://schemas.openxmlformats.org/officeDocument/2006/relationships/hyperlink" Target="https://www.fotmob.com/players/1667774/pedro-guimaraes" TargetMode="External"/><Relationship Id="rId707" Type="http://schemas.openxmlformats.org/officeDocument/2006/relationships/hyperlink" Target="https://www.fotmob.com/players/1368923/josh-martinez" TargetMode="External"/><Relationship Id="rId708" Type="http://schemas.openxmlformats.org/officeDocument/2006/relationships/hyperlink" Target="https://www.fotmob.com/players/1919791/aleksandar-vukovic" TargetMode="External"/><Relationship Id="rId709" Type="http://schemas.openxmlformats.org/officeDocument/2006/relationships/hyperlink" Target="https://www.fotmob.com/players/1910885/gilberto-rivera" TargetMode="External"/><Relationship Id="rId710" Type="http://schemas.openxmlformats.org/officeDocument/2006/relationships/hyperlink" Target="https://www.fotmob.com/players/1662133/jamison-ping" TargetMode="External"/><Relationship Id="rId711" Type="http://schemas.openxmlformats.org/officeDocument/2006/relationships/hyperlink" Target="https://www.fotmob.com/players/1075251/darius-johnson" TargetMode="External"/><Relationship Id="rId712" Type="http://schemas.openxmlformats.org/officeDocument/2006/relationships/hyperlink" Target="https://www.fotmob.com/players/1520631/juan-carvajal" TargetMode="External"/><Relationship Id="rId713" Type="http://schemas.openxmlformats.org/officeDocument/2006/relationships/hyperlink" Target="https://www.fotmob.com/players/1724752/brigham-larsen" TargetMode="External"/><Relationship Id="rId714" Type="http://schemas.openxmlformats.org/officeDocument/2006/relationships/hyperlink" Target="https://www.fotmob.com/players/1478367/clay-holstad" TargetMode="External"/><Relationship Id="rId715" Type="http://schemas.openxmlformats.org/officeDocument/2006/relationships/hyperlink" Target="https://www.fotmob.com/players/1025934/jj-williams" TargetMode="External"/><Relationship Id="rId716" Type="http://schemas.openxmlformats.org/officeDocument/2006/relationships/hyperlink" Target="https://www.fotmob.com/players/1615719/chibuike-ukaegbu" TargetMode="External"/><Relationship Id="rId717" Type="http://schemas.openxmlformats.org/officeDocument/2006/relationships/hyperlink" Target="https://www.fotmob.com/players/1708523/pep-casas" TargetMode="External"/><Relationship Id="rId718" Type="http://schemas.openxmlformats.org/officeDocument/2006/relationships/hyperlink" Target="https://www.fotmob.com/players/860585/dominik-wanner" TargetMode="External"/><Relationship Id="rId719" Type="http://schemas.openxmlformats.org/officeDocument/2006/relationships/hyperlink" Target="https://www.fotmob.com/players/1649152/dmitriy-erofeev" TargetMode="External"/><Relationship Id="rId720" Type="http://schemas.openxmlformats.org/officeDocument/2006/relationships/hyperlink" Target="https://www.fotmob.com/players/1252616/emmanuel-johnson" TargetMode="External"/><Relationship Id="rId721" Type="http://schemas.openxmlformats.org/officeDocument/2006/relationships/hyperlink" Target="https://www.fotmob.com/players/1610324/christian-olivares" TargetMode="External"/><Relationship Id="rId722" Type="http://schemas.openxmlformats.org/officeDocument/2006/relationships/hyperlink" Target="https://www.fotmob.com/players/825605/adonijah-reid" TargetMode="External"/><Relationship Id="rId723" Type="http://schemas.openxmlformats.org/officeDocument/2006/relationships/hyperlink" Target="https://www.fotmob.com/players/1045118/conner-antley" TargetMode="External"/><Relationship Id="rId724" Type="http://schemas.openxmlformats.org/officeDocument/2006/relationships/hyperlink" Target="https://www.fotmob.com/players/1190717/isaiah-leflore" TargetMode="External"/><Relationship Id="rId725" Type="http://schemas.openxmlformats.org/officeDocument/2006/relationships/hyperlink" Target="https://www.fotmob.com/players/323380/mattheus" TargetMode="External"/><Relationship Id="rId726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D7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4"/>
    <col collapsed="false" customWidth="true" hidden="false" outlineLevel="0" max="3" min="3" style="0" width="26"/>
    <col collapsed="false" customWidth="true" hidden="false" outlineLevel="0" max="4" min="4" style="0" width="11"/>
    <col collapsed="false" customWidth="true" hidden="false" outlineLevel="0" max="5" min="5" style="0" width="20"/>
    <col collapsed="false" customWidth="true" hidden="false" outlineLevel="0" max="7" min="6" style="0" width="11"/>
    <col collapsed="false" customWidth="true" hidden="false" outlineLevel="0" max="8" min="8" style="0" width="18"/>
    <col collapsed="false" customWidth="true" hidden="false" outlineLevel="0" max="11" min="9" style="0" width="11"/>
    <col collapsed="false" customWidth="true" hidden="false" outlineLevel="0" max="12" min="12" style="0" width="16"/>
    <col collapsed="false" customWidth="true" hidden="false" outlineLevel="0" max="13" min="13" style="0" width="11"/>
    <col collapsed="false" customWidth="true" hidden="false" outlineLevel="0" max="14" min="14" style="0" width="13"/>
    <col collapsed="false" customWidth="true" hidden="false" outlineLevel="0" max="55" min="15" style="0" width="11"/>
    <col collapsed="false" customWidth="true" hidden="false" outlineLevel="0" max="56" min="56" style="0" width="44"/>
  </cols>
  <sheetData>
    <row r="1" customFormat="false" ht="42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customFormat="false" ht="15" hidden="false" customHeight="false" outlineLevel="0" collapsed="false">
      <c r="A2" s="2" t="n">
        <v>912343</v>
      </c>
      <c r="B2" s="2" t="s">
        <v>56</v>
      </c>
      <c r="C2" s="2" t="s">
        <v>57</v>
      </c>
      <c r="D2" s="2" t="s">
        <v>58</v>
      </c>
      <c r="E2" s="2" t="s">
        <v>59</v>
      </c>
      <c r="F2" s="2" t="s">
        <v>60</v>
      </c>
      <c r="G2" s="2" t="s">
        <v>61</v>
      </c>
      <c r="H2" s="2" t="s">
        <v>61</v>
      </c>
      <c r="I2" s="2" t="n">
        <v>1</v>
      </c>
      <c r="J2" s="2" t="n">
        <v>27</v>
      </c>
      <c r="K2" s="2" t="s">
        <v>62</v>
      </c>
      <c r="L2" s="2" t="s">
        <v>63</v>
      </c>
      <c r="M2" s="2" t="n">
        <v>188</v>
      </c>
      <c r="N2" s="3"/>
      <c r="O2" s="2"/>
      <c r="P2" s="2" t="n">
        <v>24</v>
      </c>
      <c r="Q2" s="3" t="n">
        <v>2144</v>
      </c>
      <c r="R2" s="2" t="n">
        <v>6.94</v>
      </c>
      <c r="S2" s="2" t="n">
        <v>1</v>
      </c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 t="n">
        <v>14.9</v>
      </c>
      <c r="AG2" s="2" t="n">
        <v>63.7</v>
      </c>
      <c r="AH2" s="2"/>
      <c r="AI2" s="2"/>
      <c r="AJ2" s="2" t="n">
        <v>0.1</v>
      </c>
      <c r="AK2" s="2" t="n">
        <v>100</v>
      </c>
      <c r="AL2" s="2"/>
      <c r="AM2" s="2"/>
      <c r="AN2" s="2" t="n">
        <v>1</v>
      </c>
      <c r="AO2" s="2" t="n">
        <v>0</v>
      </c>
      <c r="AP2" s="2"/>
      <c r="AQ2" s="2" t="n">
        <v>1</v>
      </c>
      <c r="AR2" s="2"/>
      <c r="AS2" s="2" t="n">
        <v>6.8</v>
      </c>
      <c r="AT2" s="2"/>
      <c r="AU2" s="2"/>
      <c r="AV2" s="2"/>
      <c r="AW2" s="2" t="n">
        <v>2</v>
      </c>
      <c r="AX2" s="2"/>
      <c r="AY2" s="2"/>
      <c r="AZ2" s="2" t="n">
        <v>5</v>
      </c>
      <c r="BA2" s="2" t="n">
        <v>3.8</v>
      </c>
      <c r="BB2" s="2" t="n">
        <v>70.9</v>
      </c>
      <c r="BC2" s="2" t="n">
        <v>1.6</v>
      </c>
      <c r="BD2" s="4" t="s">
        <v>64</v>
      </c>
    </row>
    <row r="3" customFormat="false" ht="15" hidden="false" customHeight="false" outlineLevel="0" collapsed="false">
      <c r="A3" s="2" t="n">
        <v>1804493</v>
      </c>
      <c r="B3" s="2" t="s">
        <v>65</v>
      </c>
      <c r="C3" s="2" t="s">
        <v>57</v>
      </c>
      <c r="D3" s="2" t="s">
        <v>58</v>
      </c>
      <c r="E3" s="2" t="s">
        <v>59</v>
      </c>
      <c r="F3" s="2" t="s">
        <v>60</v>
      </c>
      <c r="G3" s="2" t="s">
        <v>61</v>
      </c>
      <c r="H3" s="2" t="s">
        <v>61</v>
      </c>
      <c r="I3" s="2" t="n">
        <v>12</v>
      </c>
      <c r="J3" s="2" t="n">
        <v>24</v>
      </c>
      <c r="K3" s="2" t="s">
        <v>66</v>
      </c>
      <c r="L3" s="2" t="s">
        <v>67</v>
      </c>
      <c r="M3" s="2" t="n">
        <v>185</v>
      </c>
      <c r="N3" s="3"/>
      <c r="O3" s="2"/>
      <c r="P3" s="2" t="n">
        <v>2</v>
      </c>
      <c r="Q3" s="3" t="n">
        <v>106</v>
      </c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4" t="s">
        <v>68</v>
      </c>
    </row>
    <row r="4" customFormat="false" ht="15" hidden="false" customHeight="false" outlineLevel="0" collapsed="false">
      <c r="A4" s="2" t="n">
        <v>1368657</v>
      </c>
      <c r="B4" s="2" t="s">
        <v>69</v>
      </c>
      <c r="C4" s="2" t="s">
        <v>57</v>
      </c>
      <c r="D4" s="2" t="s">
        <v>58</v>
      </c>
      <c r="E4" s="2" t="s">
        <v>59</v>
      </c>
      <c r="F4" s="2" t="s">
        <v>70</v>
      </c>
      <c r="G4" s="2" t="s">
        <v>71</v>
      </c>
      <c r="H4" s="2" t="s">
        <v>71</v>
      </c>
      <c r="I4" s="2" t="n">
        <v>11</v>
      </c>
      <c r="J4" s="2" t="n">
        <v>27</v>
      </c>
      <c r="K4" s="2" t="s">
        <v>72</v>
      </c>
      <c r="L4" s="2" t="s">
        <v>67</v>
      </c>
      <c r="M4" s="2" t="n">
        <v>183</v>
      </c>
      <c r="N4" s="3"/>
      <c r="O4" s="2"/>
      <c r="P4" s="2" t="n">
        <v>23</v>
      </c>
      <c r="Q4" s="3" t="n">
        <v>1480</v>
      </c>
      <c r="R4" s="2" t="n">
        <v>6.76</v>
      </c>
      <c r="S4" s="2" t="n">
        <v>0</v>
      </c>
      <c r="T4" s="2"/>
      <c r="U4" s="2"/>
      <c r="V4" s="2" t="n">
        <v>5</v>
      </c>
      <c r="W4" s="2"/>
      <c r="X4" s="2"/>
      <c r="Y4" s="2" t="n">
        <v>0.3</v>
      </c>
      <c r="Z4" s="2"/>
      <c r="AA4" s="2" t="n">
        <v>0</v>
      </c>
      <c r="AB4" s="2"/>
      <c r="AC4" s="2" t="n">
        <v>19</v>
      </c>
      <c r="AD4" s="2" t="n">
        <v>1.2</v>
      </c>
      <c r="AE4" s="2" t="n">
        <v>3</v>
      </c>
      <c r="AF4" s="2" t="n">
        <v>38.4</v>
      </c>
      <c r="AG4" s="2" t="n">
        <v>82.4</v>
      </c>
      <c r="AH4" s="2" t="n">
        <v>1.6</v>
      </c>
      <c r="AI4" s="2" t="n">
        <v>36.1</v>
      </c>
      <c r="AJ4" s="2" t="n">
        <v>0.4</v>
      </c>
      <c r="AK4" s="2" t="n">
        <v>46.2</v>
      </c>
      <c r="AL4" s="2"/>
      <c r="AM4" s="2"/>
      <c r="AN4" s="2" t="n">
        <v>5.2</v>
      </c>
      <c r="AO4" s="2" t="n">
        <v>1.6</v>
      </c>
      <c r="AP4" s="2" t="n">
        <v>0.7</v>
      </c>
      <c r="AQ4" s="2" t="n">
        <v>2.7</v>
      </c>
      <c r="AR4" s="2" t="n">
        <v>0.3</v>
      </c>
      <c r="AS4" s="2" t="n">
        <v>4</v>
      </c>
      <c r="AT4" s="2" t="n">
        <v>0.2</v>
      </c>
      <c r="AU4" s="2" t="n">
        <v>1.8</v>
      </c>
      <c r="AV4" s="2" t="n">
        <v>0.6</v>
      </c>
      <c r="AW4" s="2" t="n">
        <v>1</v>
      </c>
      <c r="AX4" s="2"/>
      <c r="AY4" s="2" t="n">
        <v>1</v>
      </c>
      <c r="AZ4" s="2"/>
      <c r="BA4" s="2"/>
      <c r="BB4" s="2"/>
      <c r="BC4" s="2"/>
      <c r="BD4" s="4" t="s">
        <v>73</v>
      </c>
    </row>
    <row r="5" customFormat="false" ht="15" hidden="false" customHeight="false" outlineLevel="0" collapsed="false">
      <c r="A5" s="2" t="n">
        <v>621906</v>
      </c>
      <c r="B5" s="2" t="s">
        <v>74</v>
      </c>
      <c r="C5" s="2" t="s">
        <v>57</v>
      </c>
      <c r="D5" s="2" t="s">
        <v>58</v>
      </c>
      <c r="E5" s="2" t="s">
        <v>59</v>
      </c>
      <c r="F5" s="2" t="s">
        <v>70</v>
      </c>
      <c r="G5" s="2" t="s">
        <v>75</v>
      </c>
      <c r="H5" s="2" t="s">
        <v>75</v>
      </c>
      <c r="I5" s="2" t="n">
        <v>3</v>
      </c>
      <c r="J5" s="2" t="n">
        <v>33</v>
      </c>
      <c r="K5" s="2" t="s">
        <v>76</v>
      </c>
      <c r="L5" s="2" t="s">
        <v>77</v>
      </c>
      <c r="M5" s="2" t="n">
        <v>188</v>
      </c>
      <c r="N5" s="3"/>
      <c r="O5" s="2"/>
      <c r="P5" s="2" t="n">
        <v>15</v>
      </c>
      <c r="Q5" s="3" t="n">
        <v>1176</v>
      </c>
      <c r="R5" s="2" t="n">
        <v>6.43</v>
      </c>
      <c r="S5" s="2" t="n">
        <v>0</v>
      </c>
      <c r="T5" s="2" t="n">
        <v>1</v>
      </c>
      <c r="U5" s="2" t="n">
        <v>0</v>
      </c>
      <c r="V5" s="2"/>
      <c r="W5" s="2"/>
      <c r="X5" s="2" t="n">
        <v>0.08</v>
      </c>
      <c r="Y5" s="2" t="n">
        <v>0.4</v>
      </c>
      <c r="Z5" s="2" t="n">
        <v>0.1</v>
      </c>
      <c r="AA5" s="2" t="n">
        <v>20</v>
      </c>
      <c r="AB5" s="2"/>
      <c r="AC5" s="2" t="n">
        <v>2</v>
      </c>
      <c r="AD5" s="2" t="n">
        <v>0.2</v>
      </c>
      <c r="AE5" s="2"/>
      <c r="AF5" s="2" t="n">
        <v>32.5</v>
      </c>
      <c r="AG5" s="2" t="n">
        <v>87.1</v>
      </c>
      <c r="AH5" s="2" t="n">
        <v>1.2</v>
      </c>
      <c r="AI5" s="2" t="n">
        <v>26.7</v>
      </c>
      <c r="AJ5" s="2"/>
      <c r="AK5" s="2"/>
      <c r="AL5" s="2"/>
      <c r="AM5" s="2"/>
      <c r="AN5" s="2" t="n">
        <v>7.3</v>
      </c>
      <c r="AO5" s="2" t="n">
        <v>0.4</v>
      </c>
      <c r="AP5" s="2" t="n">
        <v>0.4</v>
      </c>
      <c r="AQ5" s="2" t="n">
        <v>5.4</v>
      </c>
      <c r="AR5" s="2" t="n">
        <v>1.1</v>
      </c>
      <c r="AS5" s="2" t="n">
        <v>1.8</v>
      </c>
      <c r="AT5" s="2" t="n">
        <v>0.1</v>
      </c>
      <c r="AU5" s="2" t="n">
        <v>0.4</v>
      </c>
      <c r="AV5" s="2" t="n">
        <v>0.7</v>
      </c>
      <c r="AW5" s="2" t="n">
        <v>2</v>
      </c>
      <c r="AX5" s="2"/>
      <c r="AY5" s="2" t="n">
        <v>1</v>
      </c>
      <c r="AZ5" s="2"/>
      <c r="BA5" s="2"/>
      <c r="BB5" s="2"/>
      <c r="BC5" s="2"/>
      <c r="BD5" s="4" t="s">
        <v>78</v>
      </c>
    </row>
    <row r="6" customFormat="false" ht="15" hidden="false" customHeight="false" outlineLevel="0" collapsed="false">
      <c r="A6" s="2" t="n">
        <v>1262891</v>
      </c>
      <c r="B6" s="2" t="s">
        <v>79</v>
      </c>
      <c r="C6" s="2" t="s">
        <v>57</v>
      </c>
      <c r="D6" s="2" t="s">
        <v>58</v>
      </c>
      <c r="E6" s="2" t="s">
        <v>59</v>
      </c>
      <c r="F6" s="2" t="s">
        <v>70</v>
      </c>
      <c r="G6" s="2" t="s">
        <v>75</v>
      </c>
      <c r="H6" s="2" t="s">
        <v>75</v>
      </c>
      <c r="I6" s="2" t="n">
        <v>27</v>
      </c>
      <c r="J6" s="2" t="n">
        <v>28</v>
      </c>
      <c r="K6" s="2" t="s">
        <v>80</v>
      </c>
      <c r="L6" s="2" t="s">
        <v>67</v>
      </c>
      <c r="M6" s="2" t="n">
        <v>188</v>
      </c>
      <c r="N6" s="3" t="n">
        <v>50000</v>
      </c>
      <c r="O6" s="2"/>
      <c r="P6" s="2" t="n">
        <v>15</v>
      </c>
      <c r="Q6" s="3" t="n">
        <v>1156</v>
      </c>
      <c r="R6" s="2" t="n">
        <v>6.47</v>
      </c>
      <c r="S6" s="2" t="n">
        <v>0</v>
      </c>
      <c r="T6" s="2"/>
      <c r="U6" s="2"/>
      <c r="V6" s="2"/>
      <c r="W6" s="2"/>
      <c r="X6" s="2"/>
      <c r="Y6" s="2" t="n">
        <v>0.3</v>
      </c>
      <c r="Z6" s="2"/>
      <c r="AA6" s="2" t="n">
        <v>0</v>
      </c>
      <c r="AB6" s="2"/>
      <c r="AC6" s="2"/>
      <c r="AD6" s="2"/>
      <c r="AE6" s="2"/>
      <c r="AF6" s="2" t="n">
        <v>31.2</v>
      </c>
      <c r="AG6" s="2" t="n">
        <v>90.9</v>
      </c>
      <c r="AH6" s="2" t="n">
        <v>1</v>
      </c>
      <c r="AI6" s="2" t="n">
        <v>56.5</v>
      </c>
      <c r="AJ6" s="2" t="n">
        <v>0.2</v>
      </c>
      <c r="AK6" s="2" t="n">
        <v>100</v>
      </c>
      <c r="AL6" s="2"/>
      <c r="AM6" s="2"/>
      <c r="AN6" s="2" t="n">
        <v>11.1</v>
      </c>
      <c r="AO6" s="2" t="n">
        <v>0.8</v>
      </c>
      <c r="AP6" s="2" t="n">
        <v>1.1</v>
      </c>
      <c r="AQ6" s="2" t="n">
        <v>7.6</v>
      </c>
      <c r="AR6" s="2" t="n">
        <v>1.7</v>
      </c>
      <c r="AS6" s="2" t="n">
        <v>2.3</v>
      </c>
      <c r="AT6" s="2"/>
      <c r="AU6" s="2"/>
      <c r="AV6" s="2" t="n">
        <v>0.2</v>
      </c>
      <c r="AW6" s="2" t="n">
        <v>1</v>
      </c>
      <c r="AX6" s="2"/>
      <c r="AY6" s="2"/>
      <c r="AZ6" s="2"/>
      <c r="BA6" s="2"/>
      <c r="BB6" s="2"/>
      <c r="BC6" s="2"/>
      <c r="BD6" s="4" t="s">
        <v>81</v>
      </c>
    </row>
    <row r="7" customFormat="false" ht="15" hidden="false" customHeight="false" outlineLevel="0" collapsed="false">
      <c r="A7" s="2" t="n">
        <v>1252148</v>
      </c>
      <c r="B7" s="2" t="s">
        <v>82</v>
      </c>
      <c r="C7" s="2" t="s">
        <v>57</v>
      </c>
      <c r="D7" s="2" t="s">
        <v>58</v>
      </c>
      <c r="E7" s="2" t="s">
        <v>59</v>
      </c>
      <c r="F7" s="2" t="s">
        <v>70</v>
      </c>
      <c r="G7" s="2" t="s">
        <v>71</v>
      </c>
      <c r="H7" s="2" t="s">
        <v>83</v>
      </c>
      <c r="I7" s="2" t="n">
        <v>77</v>
      </c>
      <c r="J7" s="2" t="n">
        <v>28</v>
      </c>
      <c r="K7" s="2" t="s">
        <v>84</v>
      </c>
      <c r="L7" s="2" t="s">
        <v>85</v>
      </c>
      <c r="M7" s="2" t="n">
        <v>180</v>
      </c>
      <c r="N7" s="3" t="n">
        <v>184308</v>
      </c>
      <c r="O7" s="2"/>
      <c r="P7" s="2" t="n">
        <v>16</v>
      </c>
      <c r="Q7" s="3" t="n">
        <v>1046</v>
      </c>
      <c r="R7" s="2" t="n">
        <v>6.56</v>
      </c>
      <c r="S7" s="2" t="n">
        <v>0</v>
      </c>
      <c r="T7" s="2" t="n">
        <v>1</v>
      </c>
      <c r="U7" s="2" t="n">
        <v>0</v>
      </c>
      <c r="V7" s="2"/>
      <c r="W7" s="2"/>
      <c r="X7" s="2" t="n">
        <v>0.09</v>
      </c>
      <c r="Y7" s="2" t="n">
        <v>0.4</v>
      </c>
      <c r="Z7" s="2" t="n">
        <v>0.1</v>
      </c>
      <c r="AA7" s="2" t="n">
        <v>20</v>
      </c>
      <c r="AB7" s="2"/>
      <c r="AC7" s="2" t="n">
        <v>8</v>
      </c>
      <c r="AD7" s="2" t="n">
        <v>0.7</v>
      </c>
      <c r="AE7" s="2" t="n">
        <v>3</v>
      </c>
      <c r="AF7" s="2" t="n">
        <v>31.9</v>
      </c>
      <c r="AG7" s="2" t="n">
        <v>85.9</v>
      </c>
      <c r="AH7" s="2" t="n">
        <v>0.8</v>
      </c>
      <c r="AI7" s="2" t="n">
        <v>31</v>
      </c>
      <c r="AJ7" s="2" t="n">
        <v>0.5</v>
      </c>
      <c r="AK7" s="2" t="n">
        <v>66.7</v>
      </c>
      <c r="AL7" s="2"/>
      <c r="AM7" s="2"/>
      <c r="AN7" s="2" t="n">
        <v>6.9</v>
      </c>
      <c r="AO7" s="2" t="n">
        <v>1.2</v>
      </c>
      <c r="AP7" s="2" t="n">
        <v>0.7</v>
      </c>
      <c r="AQ7" s="2" t="n">
        <v>4.7</v>
      </c>
      <c r="AR7" s="2" t="n">
        <v>0.3</v>
      </c>
      <c r="AS7" s="2" t="n">
        <v>2.9</v>
      </c>
      <c r="AT7" s="2"/>
      <c r="AU7" s="2"/>
      <c r="AV7" s="2" t="n">
        <v>0.9</v>
      </c>
      <c r="AW7" s="2" t="n">
        <v>1</v>
      </c>
      <c r="AX7" s="2" t="n">
        <v>1</v>
      </c>
      <c r="AY7" s="2"/>
      <c r="AZ7" s="2"/>
      <c r="BA7" s="2"/>
      <c r="BB7" s="2"/>
      <c r="BC7" s="2"/>
      <c r="BD7" s="4" t="s">
        <v>86</v>
      </c>
    </row>
    <row r="8" customFormat="false" ht="15" hidden="false" customHeight="false" outlineLevel="0" collapsed="false">
      <c r="A8" s="2" t="n">
        <v>1439803</v>
      </c>
      <c r="B8" s="2" t="s">
        <v>87</v>
      </c>
      <c r="C8" s="2" t="s">
        <v>57</v>
      </c>
      <c r="D8" s="2" t="s">
        <v>58</v>
      </c>
      <c r="E8" s="2" t="s">
        <v>59</v>
      </c>
      <c r="F8" s="2" t="s">
        <v>70</v>
      </c>
      <c r="G8" s="2" t="s">
        <v>75</v>
      </c>
      <c r="H8" s="2" t="s">
        <v>75</v>
      </c>
      <c r="I8" s="2" t="n">
        <v>32</v>
      </c>
      <c r="J8" s="2" t="n">
        <v>24</v>
      </c>
      <c r="K8" s="2" t="s">
        <v>88</v>
      </c>
      <c r="L8" s="2" t="s">
        <v>89</v>
      </c>
      <c r="M8" s="2" t="n">
        <v>183</v>
      </c>
      <c r="N8" s="3" t="n">
        <v>118522</v>
      </c>
      <c r="O8" s="2"/>
      <c r="P8" s="2" t="n">
        <v>14</v>
      </c>
      <c r="Q8" s="3" t="n">
        <v>982</v>
      </c>
      <c r="R8" s="2" t="n">
        <v>6.9</v>
      </c>
      <c r="S8" s="2" t="n">
        <v>0</v>
      </c>
      <c r="T8" s="2"/>
      <c r="U8" s="2"/>
      <c r="V8" s="2"/>
      <c r="W8" s="2"/>
      <c r="X8" s="2"/>
      <c r="Y8" s="2" t="n">
        <v>0.4</v>
      </c>
      <c r="Z8" s="2"/>
      <c r="AA8" s="2" t="n">
        <v>0</v>
      </c>
      <c r="AB8" s="2"/>
      <c r="AC8" s="2" t="n">
        <v>5</v>
      </c>
      <c r="AD8" s="2" t="n">
        <v>0.5</v>
      </c>
      <c r="AE8" s="2"/>
      <c r="AF8" s="2" t="n">
        <v>59.8</v>
      </c>
      <c r="AG8" s="2" t="n">
        <v>85.6</v>
      </c>
      <c r="AH8" s="2" t="n">
        <v>5.4</v>
      </c>
      <c r="AI8" s="2" t="n">
        <v>51.3</v>
      </c>
      <c r="AJ8" s="2" t="n">
        <v>0.3</v>
      </c>
      <c r="AK8" s="2" t="n">
        <v>42.9</v>
      </c>
      <c r="AL8" s="2"/>
      <c r="AM8" s="2"/>
      <c r="AN8" s="2" t="n">
        <v>8.3</v>
      </c>
      <c r="AO8" s="2" t="n">
        <v>1.3</v>
      </c>
      <c r="AP8" s="2" t="n">
        <v>1.2</v>
      </c>
      <c r="AQ8" s="2" t="n">
        <v>4.9</v>
      </c>
      <c r="AR8" s="2" t="n">
        <v>1</v>
      </c>
      <c r="AS8" s="2" t="n">
        <v>3.8</v>
      </c>
      <c r="AT8" s="2" t="n">
        <v>0.1</v>
      </c>
      <c r="AU8" s="2" t="n">
        <v>0.7</v>
      </c>
      <c r="AV8" s="2" t="n">
        <v>1.5</v>
      </c>
      <c r="AW8" s="2" t="n">
        <v>1</v>
      </c>
      <c r="AX8" s="2"/>
      <c r="AY8" s="2"/>
      <c r="AZ8" s="2"/>
      <c r="BA8" s="2"/>
      <c r="BB8" s="2"/>
      <c r="BC8" s="2"/>
      <c r="BD8" s="4" t="s">
        <v>90</v>
      </c>
    </row>
    <row r="9" customFormat="false" ht="15" hidden="false" customHeight="false" outlineLevel="0" collapsed="false">
      <c r="A9" s="2" t="n">
        <v>1624479</v>
      </c>
      <c r="B9" s="2" t="s">
        <v>91</v>
      </c>
      <c r="C9" s="2" t="s">
        <v>57</v>
      </c>
      <c r="D9" s="2" t="s">
        <v>58</v>
      </c>
      <c r="E9" s="2" t="s">
        <v>59</v>
      </c>
      <c r="F9" s="2" t="s">
        <v>70</v>
      </c>
      <c r="G9" s="2" t="s">
        <v>92</v>
      </c>
      <c r="H9" s="2" t="s">
        <v>93</v>
      </c>
      <c r="I9" s="2" t="n">
        <v>26</v>
      </c>
      <c r="J9" s="2" t="n">
        <v>24</v>
      </c>
      <c r="K9" s="2" t="s">
        <v>94</v>
      </c>
      <c r="L9" s="2" t="s">
        <v>95</v>
      </c>
      <c r="M9" s="2" t="n">
        <v>175</v>
      </c>
      <c r="N9" s="3"/>
      <c r="O9" s="2"/>
      <c r="P9" s="2" t="n">
        <v>15</v>
      </c>
      <c r="Q9" s="3" t="n">
        <v>775</v>
      </c>
      <c r="R9" s="2" t="n">
        <v>6.58</v>
      </c>
      <c r="S9" s="2" t="n">
        <v>0</v>
      </c>
      <c r="T9" s="2"/>
      <c r="U9" s="2"/>
      <c r="V9" s="2"/>
      <c r="W9" s="2"/>
      <c r="X9" s="2"/>
      <c r="Y9" s="2" t="n">
        <v>0.6</v>
      </c>
      <c r="Z9" s="2"/>
      <c r="AA9" s="2" t="n">
        <v>0</v>
      </c>
      <c r="AB9" s="2"/>
      <c r="AC9" s="2" t="n">
        <v>5</v>
      </c>
      <c r="AD9" s="2" t="n">
        <v>0.6</v>
      </c>
      <c r="AE9" s="2"/>
      <c r="AF9" s="2" t="n">
        <v>28.5</v>
      </c>
      <c r="AG9" s="2" t="n">
        <v>80.6</v>
      </c>
      <c r="AH9" s="2" t="n">
        <v>0.7</v>
      </c>
      <c r="AI9" s="2" t="n">
        <v>35.3</v>
      </c>
      <c r="AJ9" s="2" t="n">
        <v>0.8</v>
      </c>
      <c r="AK9" s="2" t="n">
        <v>36.8</v>
      </c>
      <c r="AL9" s="2"/>
      <c r="AM9" s="2"/>
      <c r="AN9" s="2" t="n">
        <v>6.3</v>
      </c>
      <c r="AO9" s="2" t="n">
        <v>2.1</v>
      </c>
      <c r="AP9" s="2" t="n">
        <v>1.2</v>
      </c>
      <c r="AQ9" s="2" t="n">
        <v>2.7</v>
      </c>
      <c r="AR9" s="2" t="n">
        <v>0.3</v>
      </c>
      <c r="AS9" s="2" t="n">
        <v>3.4</v>
      </c>
      <c r="AT9" s="2"/>
      <c r="AU9" s="2"/>
      <c r="AV9" s="2" t="n">
        <v>1.2</v>
      </c>
      <c r="AW9" s="2" t="n">
        <v>1</v>
      </c>
      <c r="AX9" s="2"/>
      <c r="AY9" s="2" t="n">
        <v>1</v>
      </c>
      <c r="AZ9" s="2"/>
      <c r="BA9" s="2"/>
      <c r="BB9" s="2"/>
      <c r="BC9" s="2"/>
      <c r="BD9" s="4" t="s">
        <v>96</v>
      </c>
    </row>
    <row r="10" customFormat="false" ht="15" hidden="false" customHeight="false" outlineLevel="0" collapsed="false">
      <c r="A10" s="2" t="n">
        <v>1059682</v>
      </c>
      <c r="B10" s="2" t="s">
        <v>97</v>
      </c>
      <c r="C10" s="2" t="s">
        <v>57</v>
      </c>
      <c r="D10" s="2" t="s">
        <v>58</v>
      </c>
      <c r="E10" s="2" t="s">
        <v>59</v>
      </c>
      <c r="F10" s="2" t="s">
        <v>70</v>
      </c>
      <c r="G10" s="2" t="s">
        <v>75</v>
      </c>
      <c r="H10" s="2" t="s">
        <v>75</v>
      </c>
      <c r="I10" s="2" t="n">
        <v>20</v>
      </c>
      <c r="J10" s="2" t="n">
        <v>30</v>
      </c>
      <c r="K10" s="2" t="s">
        <v>98</v>
      </c>
      <c r="L10" s="2" t="s">
        <v>99</v>
      </c>
      <c r="M10" s="2" t="n">
        <v>188</v>
      </c>
      <c r="N10" s="3"/>
      <c r="O10" s="2"/>
      <c r="P10" s="2" t="n">
        <v>5</v>
      </c>
      <c r="Q10" s="3" t="n">
        <v>220</v>
      </c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4" t="s">
        <v>100</v>
      </c>
    </row>
    <row r="11" customFormat="false" ht="15" hidden="false" customHeight="false" outlineLevel="0" collapsed="false">
      <c r="A11" s="2" t="n">
        <v>1682447</v>
      </c>
      <c r="B11" s="2" t="s">
        <v>101</v>
      </c>
      <c r="C11" s="2" t="s">
        <v>57</v>
      </c>
      <c r="D11" s="2" t="s">
        <v>58</v>
      </c>
      <c r="E11" s="2" t="s">
        <v>59</v>
      </c>
      <c r="F11" s="2" t="s">
        <v>102</v>
      </c>
      <c r="G11" s="2" t="s">
        <v>103</v>
      </c>
      <c r="H11" s="2" t="s">
        <v>103</v>
      </c>
      <c r="I11" s="2" t="n">
        <v>18</v>
      </c>
      <c r="J11" s="2" t="n">
        <v>26</v>
      </c>
      <c r="K11" s="2" t="s">
        <v>104</v>
      </c>
      <c r="L11" s="2" t="s">
        <v>105</v>
      </c>
      <c r="M11" s="2" t="n">
        <v>175</v>
      </c>
      <c r="N11" s="3"/>
      <c r="O11" s="2"/>
      <c r="P11" s="2" t="n">
        <v>25</v>
      </c>
      <c r="Q11" s="3" t="n">
        <v>2244</v>
      </c>
      <c r="R11" s="2" t="n">
        <v>6.87</v>
      </c>
      <c r="S11" s="2" t="n">
        <v>0</v>
      </c>
      <c r="T11" s="2"/>
      <c r="U11" s="2"/>
      <c r="V11" s="2"/>
      <c r="W11" s="2"/>
      <c r="X11" s="2"/>
      <c r="Y11" s="2" t="n">
        <v>0.1</v>
      </c>
      <c r="Z11" s="2"/>
      <c r="AA11" s="2" t="n">
        <v>0</v>
      </c>
      <c r="AB11" s="2"/>
      <c r="AC11" s="2" t="n">
        <v>9</v>
      </c>
      <c r="AD11" s="2" t="n">
        <v>0.4</v>
      </c>
      <c r="AE11" s="2"/>
      <c r="AF11" s="2" t="n">
        <v>44.7</v>
      </c>
      <c r="AG11" s="2" t="n">
        <v>91.4</v>
      </c>
      <c r="AH11" s="2" t="n">
        <v>0.8</v>
      </c>
      <c r="AI11" s="2" t="n">
        <v>34.5</v>
      </c>
      <c r="AJ11" s="2" t="n">
        <v>0.2</v>
      </c>
      <c r="AK11" s="2" t="n">
        <v>80</v>
      </c>
      <c r="AL11" s="2"/>
      <c r="AM11" s="2"/>
      <c r="AN11" s="2" t="n">
        <v>6.1</v>
      </c>
      <c r="AO11" s="2" t="n">
        <v>1.7</v>
      </c>
      <c r="AP11" s="2" t="n">
        <v>1</v>
      </c>
      <c r="AQ11" s="2" t="n">
        <v>3</v>
      </c>
      <c r="AR11" s="2" t="n">
        <v>0.4</v>
      </c>
      <c r="AS11" s="2" t="n">
        <v>4.2</v>
      </c>
      <c r="AT11" s="2" t="n">
        <v>0.2</v>
      </c>
      <c r="AU11" s="2" t="n">
        <v>2.2</v>
      </c>
      <c r="AV11" s="2" t="n">
        <v>1.4</v>
      </c>
      <c r="AW11" s="2" t="n">
        <v>8</v>
      </c>
      <c r="AX11" s="2"/>
      <c r="AY11" s="2"/>
      <c r="AZ11" s="2"/>
      <c r="BA11" s="2"/>
      <c r="BB11" s="2"/>
      <c r="BC11" s="2"/>
      <c r="BD11" s="4" t="s">
        <v>106</v>
      </c>
    </row>
    <row r="12" customFormat="false" ht="15" hidden="false" customHeight="false" outlineLevel="0" collapsed="false">
      <c r="A12" s="2" t="n">
        <v>847603</v>
      </c>
      <c r="B12" s="2" t="s">
        <v>107</v>
      </c>
      <c r="C12" s="2" t="s">
        <v>57</v>
      </c>
      <c r="D12" s="2" t="s">
        <v>58</v>
      </c>
      <c r="E12" s="2" t="s">
        <v>59</v>
      </c>
      <c r="F12" s="2" t="s">
        <v>102</v>
      </c>
      <c r="G12" s="2" t="s">
        <v>103</v>
      </c>
      <c r="H12" s="2" t="s">
        <v>108</v>
      </c>
      <c r="I12" s="2" t="n">
        <v>10</v>
      </c>
      <c r="J12" s="2" t="n">
        <v>27</v>
      </c>
      <c r="K12" s="2" t="s">
        <v>109</v>
      </c>
      <c r="L12" s="2" t="s">
        <v>110</v>
      </c>
      <c r="M12" s="2" t="n">
        <v>176</v>
      </c>
      <c r="N12" s="3"/>
      <c r="O12" s="2"/>
      <c r="P12" s="2" t="n">
        <v>19</v>
      </c>
      <c r="Q12" s="3" t="n">
        <v>1431</v>
      </c>
      <c r="R12" s="2" t="n">
        <v>7.12</v>
      </c>
      <c r="S12" s="2" t="n">
        <v>1</v>
      </c>
      <c r="T12" s="2" t="n">
        <v>2</v>
      </c>
      <c r="U12" s="2" t="n">
        <v>0</v>
      </c>
      <c r="V12" s="2" t="n">
        <v>1</v>
      </c>
      <c r="W12" s="2"/>
      <c r="X12" s="2" t="n">
        <v>0.13</v>
      </c>
      <c r="Y12" s="2" t="n">
        <v>2.3</v>
      </c>
      <c r="Z12" s="2" t="n">
        <v>0.4</v>
      </c>
      <c r="AA12" s="2" t="n">
        <v>5.4</v>
      </c>
      <c r="AB12" s="2" t="n">
        <v>2</v>
      </c>
      <c r="AC12" s="2" t="n">
        <v>36</v>
      </c>
      <c r="AD12" s="2" t="n">
        <v>2.3</v>
      </c>
      <c r="AE12" s="2" t="n">
        <v>1</v>
      </c>
      <c r="AF12" s="2" t="n">
        <v>66.2</v>
      </c>
      <c r="AG12" s="2" t="n">
        <v>89.3</v>
      </c>
      <c r="AH12" s="2" t="n">
        <v>5</v>
      </c>
      <c r="AI12" s="2" t="n">
        <v>67.5</v>
      </c>
      <c r="AJ12" s="2" t="n">
        <v>1.4</v>
      </c>
      <c r="AK12" s="2" t="n">
        <v>50</v>
      </c>
      <c r="AL12" s="2"/>
      <c r="AM12" s="2"/>
      <c r="AN12" s="2" t="n">
        <v>1.5</v>
      </c>
      <c r="AO12" s="2" t="n">
        <v>1.1</v>
      </c>
      <c r="AP12" s="2" t="n">
        <v>0.3</v>
      </c>
      <c r="AQ12" s="2" t="n">
        <v>0.1</v>
      </c>
      <c r="AR12" s="2"/>
      <c r="AS12" s="2" t="n">
        <v>5.2</v>
      </c>
      <c r="AT12" s="2" t="n">
        <v>0.7</v>
      </c>
      <c r="AU12" s="2" t="n">
        <v>2.3</v>
      </c>
      <c r="AV12" s="2" t="n">
        <v>0.6</v>
      </c>
      <c r="AW12" s="2" t="n">
        <v>1</v>
      </c>
      <c r="AX12" s="2"/>
      <c r="AY12" s="2"/>
      <c r="AZ12" s="2"/>
      <c r="BA12" s="2"/>
      <c r="BB12" s="2"/>
      <c r="BC12" s="2"/>
      <c r="BD12" s="4" t="s">
        <v>111</v>
      </c>
    </row>
    <row r="13" customFormat="false" ht="15" hidden="false" customHeight="false" outlineLevel="0" collapsed="false">
      <c r="A13" s="2" t="n">
        <v>530617</v>
      </c>
      <c r="B13" s="2" t="s">
        <v>112</v>
      </c>
      <c r="C13" s="2" t="s">
        <v>57</v>
      </c>
      <c r="D13" s="2" t="s">
        <v>58</v>
      </c>
      <c r="E13" s="2" t="s">
        <v>59</v>
      </c>
      <c r="F13" s="2" t="s">
        <v>102</v>
      </c>
      <c r="G13" s="2" t="s">
        <v>113</v>
      </c>
      <c r="H13" s="2" t="s">
        <v>114</v>
      </c>
      <c r="I13" s="2" t="n">
        <v>15</v>
      </c>
      <c r="J13" s="2" t="n">
        <v>32</v>
      </c>
      <c r="K13" s="2" t="s">
        <v>115</v>
      </c>
      <c r="L13" s="2" t="s">
        <v>116</v>
      </c>
      <c r="M13" s="2" t="n">
        <v>180</v>
      </c>
      <c r="N13" s="3"/>
      <c r="O13" s="2"/>
      <c r="P13" s="2" t="n">
        <v>20</v>
      </c>
      <c r="Q13" s="3" t="n">
        <v>1406</v>
      </c>
      <c r="R13" s="2" t="n">
        <v>6.97</v>
      </c>
      <c r="S13" s="2" t="n">
        <v>2</v>
      </c>
      <c r="T13" s="2" t="n">
        <v>5</v>
      </c>
      <c r="U13" s="2" t="n">
        <v>2</v>
      </c>
      <c r="V13" s="2" t="n">
        <v>2</v>
      </c>
      <c r="W13" s="2"/>
      <c r="X13" s="2" t="n">
        <v>0.32</v>
      </c>
      <c r="Y13" s="2" t="n">
        <v>1.9</v>
      </c>
      <c r="Z13" s="2" t="n">
        <v>0.4</v>
      </c>
      <c r="AA13" s="2" t="n">
        <v>16.7</v>
      </c>
      <c r="AB13" s="2" t="n">
        <v>2</v>
      </c>
      <c r="AC13" s="2" t="n">
        <v>28</v>
      </c>
      <c r="AD13" s="2" t="n">
        <v>1.8</v>
      </c>
      <c r="AE13" s="2" t="n">
        <v>2</v>
      </c>
      <c r="AF13" s="2" t="n">
        <v>38.5</v>
      </c>
      <c r="AG13" s="2" t="n">
        <v>86.9</v>
      </c>
      <c r="AH13" s="2" t="n">
        <v>1.2</v>
      </c>
      <c r="AI13" s="2" t="n">
        <v>51.4</v>
      </c>
      <c r="AJ13" s="2" t="n">
        <v>1.2</v>
      </c>
      <c r="AK13" s="2" t="n">
        <v>54.3</v>
      </c>
      <c r="AL13" s="2"/>
      <c r="AM13" s="2"/>
      <c r="AN13" s="2" t="n">
        <v>1.1</v>
      </c>
      <c r="AO13" s="2" t="n">
        <v>0.7</v>
      </c>
      <c r="AP13" s="2" t="n">
        <v>0.3</v>
      </c>
      <c r="AQ13" s="2" t="n">
        <v>0.1</v>
      </c>
      <c r="AR13" s="2"/>
      <c r="AS13" s="2" t="n">
        <v>3.1</v>
      </c>
      <c r="AT13" s="2" t="n">
        <v>0.6</v>
      </c>
      <c r="AU13" s="2" t="n">
        <v>1.2</v>
      </c>
      <c r="AV13" s="2" t="n">
        <v>0.8</v>
      </c>
      <c r="AW13" s="2"/>
      <c r="AX13" s="2"/>
      <c r="AY13" s="2"/>
      <c r="AZ13" s="2"/>
      <c r="BA13" s="2"/>
      <c r="BB13" s="2"/>
      <c r="BC13" s="2"/>
      <c r="BD13" s="4" t="s">
        <v>117</v>
      </c>
    </row>
    <row r="14" customFormat="false" ht="15" hidden="false" customHeight="false" outlineLevel="0" collapsed="false">
      <c r="A14" s="2" t="n">
        <v>932131</v>
      </c>
      <c r="B14" s="2" t="s">
        <v>118</v>
      </c>
      <c r="C14" s="2" t="s">
        <v>57</v>
      </c>
      <c r="D14" s="2" t="s">
        <v>58</v>
      </c>
      <c r="E14" s="2" t="s">
        <v>59</v>
      </c>
      <c r="F14" s="2" t="s">
        <v>102</v>
      </c>
      <c r="G14" s="2" t="s">
        <v>113</v>
      </c>
      <c r="H14" s="2" t="s">
        <v>119</v>
      </c>
      <c r="I14" s="2" t="n">
        <v>16</v>
      </c>
      <c r="J14" s="2" t="n">
        <v>28</v>
      </c>
      <c r="K14" s="2" t="s">
        <v>120</v>
      </c>
      <c r="L14" s="2" t="s">
        <v>85</v>
      </c>
      <c r="M14" s="2" t="n">
        <v>180</v>
      </c>
      <c r="N14" s="3"/>
      <c r="O14" s="2"/>
      <c r="P14" s="2" t="n">
        <v>21</v>
      </c>
      <c r="Q14" s="3" t="n">
        <v>1201</v>
      </c>
      <c r="R14" s="2" t="n">
        <v>6.86</v>
      </c>
      <c r="S14" s="2" t="n">
        <v>1</v>
      </c>
      <c r="T14" s="2" t="n">
        <v>2</v>
      </c>
      <c r="U14" s="2" t="n">
        <v>0</v>
      </c>
      <c r="V14" s="2" t="n">
        <v>4</v>
      </c>
      <c r="W14" s="2"/>
      <c r="X14" s="2" t="n">
        <v>0.15</v>
      </c>
      <c r="Y14" s="2" t="n">
        <v>3</v>
      </c>
      <c r="Z14" s="2" t="n">
        <v>1</v>
      </c>
      <c r="AA14" s="2" t="n">
        <v>5</v>
      </c>
      <c r="AB14" s="2" t="n">
        <v>3</v>
      </c>
      <c r="AC14" s="2" t="n">
        <v>12</v>
      </c>
      <c r="AD14" s="2" t="n">
        <v>0.9</v>
      </c>
      <c r="AE14" s="2" t="n">
        <v>3</v>
      </c>
      <c r="AF14" s="2" t="n">
        <v>26.1</v>
      </c>
      <c r="AG14" s="2" t="n">
        <v>81.9</v>
      </c>
      <c r="AH14" s="2" t="n">
        <v>1.2</v>
      </c>
      <c r="AI14" s="2" t="n">
        <v>72.7</v>
      </c>
      <c r="AJ14" s="2" t="n">
        <v>1.2</v>
      </c>
      <c r="AK14" s="2" t="n">
        <v>61.5</v>
      </c>
      <c r="AL14" s="2" t="n">
        <v>1</v>
      </c>
      <c r="AM14" s="2" t="n">
        <v>1.3</v>
      </c>
      <c r="AN14" s="2" t="n">
        <v>2.5</v>
      </c>
      <c r="AO14" s="2" t="n">
        <v>1.1</v>
      </c>
      <c r="AP14" s="2" t="n">
        <v>0.5</v>
      </c>
      <c r="AQ14" s="2" t="n">
        <v>0.7</v>
      </c>
      <c r="AR14" s="2" t="n">
        <v>0.1</v>
      </c>
      <c r="AS14" s="2" t="n">
        <v>3.3</v>
      </c>
      <c r="AT14" s="2" t="n">
        <v>0.4</v>
      </c>
      <c r="AU14" s="2" t="n">
        <v>1.3</v>
      </c>
      <c r="AV14" s="2" t="n">
        <v>0.7</v>
      </c>
      <c r="AW14" s="2" t="n">
        <v>2</v>
      </c>
      <c r="AX14" s="2"/>
      <c r="AY14" s="2"/>
      <c r="AZ14" s="2"/>
      <c r="BA14" s="2"/>
      <c r="BB14" s="2"/>
      <c r="BC14" s="2"/>
      <c r="BD14" s="4" t="s">
        <v>121</v>
      </c>
    </row>
    <row r="15" customFormat="false" ht="15" hidden="false" customHeight="false" outlineLevel="0" collapsed="false">
      <c r="A15" s="2" t="n">
        <v>860928</v>
      </c>
      <c r="B15" s="2" t="s">
        <v>122</v>
      </c>
      <c r="C15" s="2" t="s">
        <v>57</v>
      </c>
      <c r="D15" s="2" t="s">
        <v>58</v>
      </c>
      <c r="E15" s="2" t="s">
        <v>59</v>
      </c>
      <c r="F15" s="2" t="s">
        <v>102</v>
      </c>
      <c r="G15" s="2" t="s">
        <v>103</v>
      </c>
      <c r="H15" s="2" t="s">
        <v>123</v>
      </c>
      <c r="I15" s="2" t="n">
        <v>6</v>
      </c>
      <c r="J15" s="2" t="n">
        <v>28</v>
      </c>
      <c r="K15" s="2" t="s">
        <v>124</v>
      </c>
      <c r="L15" s="2" t="s">
        <v>125</v>
      </c>
      <c r="M15" s="2" t="n">
        <v>170</v>
      </c>
      <c r="N15" s="3"/>
      <c r="O15" s="2"/>
      <c r="P15" s="2" t="n">
        <v>19</v>
      </c>
      <c r="Q15" s="3" t="n">
        <v>940</v>
      </c>
      <c r="R15" s="2" t="n">
        <v>6.83</v>
      </c>
      <c r="S15" s="2" t="n">
        <v>1</v>
      </c>
      <c r="T15" s="2" t="n">
        <v>1</v>
      </c>
      <c r="U15" s="2" t="n">
        <v>0</v>
      </c>
      <c r="V15" s="2"/>
      <c r="W15" s="2"/>
      <c r="X15" s="2" t="n">
        <v>0.1</v>
      </c>
      <c r="Y15" s="2" t="n">
        <v>1.2</v>
      </c>
      <c r="Z15" s="2" t="n">
        <v>0.5</v>
      </c>
      <c r="AA15" s="2" t="n">
        <v>7.7</v>
      </c>
      <c r="AB15" s="2"/>
      <c r="AC15" s="2" t="n">
        <v>10</v>
      </c>
      <c r="AD15" s="2" t="n">
        <v>1</v>
      </c>
      <c r="AE15" s="2"/>
      <c r="AF15" s="2" t="n">
        <v>48.1</v>
      </c>
      <c r="AG15" s="2" t="n">
        <v>85.4</v>
      </c>
      <c r="AH15" s="2" t="n">
        <v>3.5</v>
      </c>
      <c r="AI15" s="2" t="n">
        <v>58.7</v>
      </c>
      <c r="AJ15" s="2" t="n">
        <v>1</v>
      </c>
      <c r="AK15" s="2" t="n">
        <v>62.5</v>
      </c>
      <c r="AL15" s="2"/>
      <c r="AM15" s="2"/>
      <c r="AN15" s="2" t="n">
        <v>7.1</v>
      </c>
      <c r="AO15" s="2" t="n">
        <v>2.4</v>
      </c>
      <c r="AP15" s="2" t="n">
        <v>2.3</v>
      </c>
      <c r="AQ15" s="2" t="n">
        <v>2</v>
      </c>
      <c r="AR15" s="2" t="n">
        <v>0.4</v>
      </c>
      <c r="AS15" s="2" t="n">
        <v>5.1</v>
      </c>
      <c r="AT15" s="2" t="n">
        <v>0.1</v>
      </c>
      <c r="AU15" s="2" t="n">
        <v>2.8</v>
      </c>
      <c r="AV15" s="2" t="n">
        <v>0.8</v>
      </c>
      <c r="AW15" s="2" t="n">
        <v>3</v>
      </c>
      <c r="AX15" s="2"/>
      <c r="AY15" s="2"/>
      <c r="AZ15" s="2"/>
      <c r="BA15" s="2"/>
      <c r="BB15" s="2"/>
      <c r="BC15" s="2"/>
      <c r="BD15" s="4" t="s">
        <v>126</v>
      </c>
    </row>
    <row r="16" customFormat="false" ht="15" hidden="false" customHeight="false" outlineLevel="0" collapsed="false">
      <c r="A16" s="2" t="n">
        <v>1431704</v>
      </c>
      <c r="B16" s="2" t="s">
        <v>127</v>
      </c>
      <c r="C16" s="2" t="s">
        <v>57</v>
      </c>
      <c r="D16" s="2" t="s">
        <v>58</v>
      </c>
      <c r="E16" s="2" t="s">
        <v>59</v>
      </c>
      <c r="F16" s="2" t="s">
        <v>102</v>
      </c>
      <c r="G16" s="2" t="s">
        <v>103</v>
      </c>
      <c r="H16" s="2" t="s">
        <v>128</v>
      </c>
      <c r="I16" s="2" t="n">
        <v>8</v>
      </c>
      <c r="J16" s="2" t="n">
        <v>27</v>
      </c>
      <c r="K16" s="2" t="s">
        <v>129</v>
      </c>
      <c r="L16" s="2" t="s">
        <v>130</v>
      </c>
      <c r="M16" s="2" t="n">
        <v>178</v>
      </c>
      <c r="N16" s="3"/>
      <c r="O16" s="2"/>
      <c r="P16" s="2" t="n">
        <v>12</v>
      </c>
      <c r="Q16" s="3" t="n">
        <v>668</v>
      </c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 t="n">
        <v>3</v>
      </c>
      <c r="AD16" s="2" t="n">
        <v>0.4</v>
      </c>
      <c r="AE16" s="2" t="n">
        <v>1</v>
      </c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 t="n">
        <v>2</v>
      </c>
      <c r="AX16" s="2"/>
      <c r="AY16" s="2"/>
      <c r="AZ16" s="2"/>
      <c r="BA16" s="2"/>
      <c r="BB16" s="2"/>
      <c r="BC16" s="2"/>
      <c r="BD16" s="4" t="s">
        <v>131</v>
      </c>
    </row>
    <row r="17" customFormat="false" ht="15" hidden="false" customHeight="false" outlineLevel="0" collapsed="false">
      <c r="A17" s="2" t="n">
        <v>1190660</v>
      </c>
      <c r="B17" s="2" t="s">
        <v>132</v>
      </c>
      <c r="C17" s="2" t="s">
        <v>57</v>
      </c>
      <c r="D17" s="2" t="s">
        <v>58</v>
      </c>
      <c r="E17" s="2" t="s">
        <v>59</v>
      </c>
      <c r="F17" s="2" t="s">
        <v>102</v>
      </c>
      <c r="G17" s="2" t="s">
        <v>133</v>
      </c>
      <c r="H17" s="2" t="s">
        <v>133</v>
      </c>
      <c r="I17" s="2" t="n">
        <v>81</v>
      </c>
      <c r="J17" s="2" t="n">
        <v>21</v>
      </c>
      <c r="K17" s="2" t="s">
        <v>134</v>
      </c>
      <c r="L17" s="2" t="s">
        <v>67</v>
      </c>
      <c r="M17" s="2" t="n">
        <v>178</v>
      </c>
      <c r="N17" s="3" t="n">
        <v>670583</v>
      </c>
      <c r="O17" s="2"/>
      <c r="P17" s="2" t="n">
        <v>21</v>
      </c>
      <c r="Q17" s="3" t="n">
        <v>504</v>
      </c>
      <c r="R17" s="2" t="n">
        <v>6.55</v>
      </c>
      <c r="S17" s="2" t="n">
        <v>0</v>
      </c>
      <c r="T17" s="2" t="n">
        <v>2</v>
      </c>
      <c r="U17" s="2" t="n">
        <v>0</v>
      </c>
      <c r="V17" s="2" t="n">
        <v>2</v>
      </c>
      <c r="W17" s="2"/>
      <c r="X17" s="2" t="n">
        <v>0.36</v>
      </c>
      <c r="Y17" s="2" t="n">
        <v>2.3</v>
      </c>
      <c r="Z17" s="2" t="n">
        <v>1.1</v>
      </c>
      <c r="AA17" s="2" t="n">
        <v>15.4</v>
      </c>
      <c r="AB17" s="2" t="n">
        <v>1</v>
      </c>
      <c r="AC17" s="2" t="n">
        <v>10</v>
      </c>
      <c r="AD17" s="2" t="n">
        <v>1.8</v>
      </c>
      <c r="AE17" s="2" t="n">
        <v>4</v>
      </c>
      <c r="AF17" s="2" t="n">
        <v>21.4</v>
      </c>
      <c r="AG17" s="2" t="n">
        <v>77.4</v>
      </c>
      <c r="AH17" s="2" t="n">
        <v>0.4</v>
      </c>
      <c r="AI17" s="2" t="n">
        <v>33.3</v>
      </c>
      <c r="AJ17" s="2" t="n">
        <v>1.8</v>
      </c>
      <c r="AK17" s="2" t="n">
        <v>50</v>
      </c>
      <c r="AL17" s="2"/>
      <c r="AM17" s="2"/>
      <c r="AN17" s="2" t="n">
        <v>4.1</v>
      </c>
      <c r="AO17" s="2" t="n">
        <v>2</v>
      </c>
      <c r="AP17" s="2"/>
      <c r="AQ17" s="2" t="n">
        <v>2</v>
      </c>
      <c r="AR17" s="2" t="n">
        <v>0.2</v>
      </c>
      <c r="AS17" s="2" t="n">
        <v>3.4</v>
      </c>
      <c r="AT17" s="2" t="n">
        <v>0.4</v>
      </c>
      <c r="AU17" s="2" t="n">
        <v>1.1</v>
      </c>
      <c r="AV17" s="2" t="n">
        <v>2.3</v>
      </c>
      <c r="AW17" s="2" t="n">
        <v>3</v>
      </c>
      <c r="AX17" s="2"/>
      <c r="AY17" s="2"/>
      <c r="AZ17" s="2"/>
      <c r="BA17" s="2"/>
      <c r="BB17" s="2"/>
      <c r="BC17" s="2"/>
      <c r="BD17" s="4" t="s">
        <v>135</v>
      </c>
    </row>
    <row r="18" customFormat="false" ht="15" hidden="false" customHeight="false" outlineLevel="0" collapsed="false">
      <c r="A18" s="2" t="n">
        <v>1637902</v>
      </c>
      <c r="B18" s="2" t="s">
        <v>136</v>
      </c>
      <c r="C18" s="2" t="s">
        <v>57</v>
      </c>
      <c r="D18" s="2" t="s">
        <v>58</v>
      </c>
      <c r="E18" s="2" t="s">
        <v>59</v>
      </c>
      <c r="F18" s="2" t="s">
        <v>137</v>
      </c>
      <c r="G18" s="2" t="s">
        <v>138</v>
      </c>
      <c r="H18" s="2" t="s">
        <v>138</v>
      </c>
      <c r="I18" s="2" t="n">
        <v>19</v>
      </c>
      <c r="J18" s="2" t="n">
        <v>24</v>
      </c>
      <c r="K18" s="2" t="s">
        <v>139</v>
      </c>
      <c r="L18" s="2" t="s">
        <v>67</v>
      </c>
      <c r="M18" s="2" t="n">
        <v>170</v>
      </c>
      <c r="N18" s="3"/>
      <c r="O18" s="2"/>
      <c r="P18" s="2" t="n">
        <v>25</v>
      </c>
      <c r="Q18" s="3" t="n">
        <v>2005</v>
      </c>
      <c r="R18" s="2" t="n">
        <v>6.9</v>
      </c>
      <c r="S18" s="2" t="n">
        <v>2</v>
      </c>
      <c r="T18" s="2" t="n">
        <v>2</v>
      </c>
      <c r="U18" s="2" t="n">
        <v>0</v>
      </c>
      <c r="V18" s="2" t="n">
        <v>4</v>
      </c>
      <c r="W18" s="2"/>
      <c r="X18" s="2" t="n">
        <v>0.09</v>
      </c>
      <c r="Y18" s="2" t="n">
        <v>2.1</v>
      </c>
      <c r="Z18" s="2" t="n">
        <v>0.8</v>
      </c>
      <c r="AA18" s="2" t="n">
        <v>4.3</v>
      </c>
      <c r="AB18" s="2" t="n">
        <v>6</v>
      </c>
      <c r="AC18" s="2" t="n">
        <v>34</v>
      </c>
      <c r="AD18" s="2" t="n">
        <v>1.5</v>
      </c>
      <c r="AE18" s="2" t="n">
        <v>8</v>
      </c>
      <c r="AF18" s="2" t="n">
        <v>20.2</v>
      </c>
      <c r="AG18" s="2" t="n">
        <v>83.8</v>
      </c>
      <c r="AH18" s="2" t="n">
        <v>0.4</v>
      </c>
      <c r="AI18" s="2" t="n">
        <v>57.1</v>
      </c>
      <c r="AJ18" s="2" t="n">
        <v>1.4</v>
      </c>
      <c r="AK18" s="2" t="n">
        <v>39</v>
      </c>
      <c r="AL18" s="2" t="n">
        <v>1</v>
      </c>
      <c r="AM18" s="2" t="n">
        <v>2.9</v>
      </c>
      <c r="AN18" s="2" t="n">
        <v>1.4</v>
      </c>
      <c r="AO18" s="2" t="n">
        <v>0.6</v>
      </c>
      <c r="AP18" s="2" t="n">
        <v>0.2</v>
      </c>
      <c r="AQ18" s="2" t="n">
        <v>0.5</v>
      </c>
      <c r="AR18" s="2" t="n">
        <v>0.1</v>
      </c>
      <c r="AS18" s="2" t="n">
        <v>3.1</v>
      </c>
      <c r="AT18" s="2" t="n">
        <v>0.5</v>
      </c>
      <c r="AU18" s="2" t="n">
        <v>1.3</v>
      </c>
      <c r="AV18" s="2" t="n">
        <v>1.3</v>
      </c>
      <c r="AW18" s="2" t="n">
        <v>5</v>
      </c>
      <c r="AX18" s="2"/>
      <c r="AY18" s="2"/>
      <c r="AZ18" s="2"/>
      <c r="BA18" s="2"/>
      <c r="BB18" s="2"/>
      <c r="BC18" s="2"/>
      <c r="BD18" s="4" t="s">
        <v>140</v>
      </c>
    </row>
    <row r="19" customFormat="false" ht="15" hidden="false" customHeight="false" outlineLevel="0" collapsed="false">
      <c r="A19" s="2" t="n">
        <v>1662187</v>
      </c>
      <c r="B19" s="2" t="s">
        <v>141</v>
      </c>
      <c r="C19" s="2" t="s">
        <v>57</v>
      </c>
      <c r="D19" s="2" t="s">
        <v>58</v>
      </c>
      <c r="E19" s="2" t="s">
        <v>59</v>
      </c>
      <c r="F19" s="2" t="s">
        <v>137</v>
      </c>
      <c r="G19" s="2" t="s">
        <v>133</v>
      </c>
      <c r="H19" s="2" t="s">
        <v>142</v>
      </c>
      <c r="I19" s="2" t="n">
        <v>21</v>
      </c>
      <c r="J19" s="2" t="n">
        <v>26</v>
      </c>
      <c r="K19" s="2" t="s">
        <v>143</v>
      </c>
      <c r="L19" s="2" t="s">
        <v>144</v>
      </c>
      <c r="M19" s="2" t="n">
        <v>170</v>
      </c>
      <c r="N19" s="3"/>
      <c r="O19" s="2"/>
      <c r="P19" s="2" t="n">
        <v>23</v>
      </c>
      <c r="Q19" s="3" t="n">
        <v>1754</v>
      </c>
      <c r="R19" s="2" t="n">
        <v>7.02</v>
      </c>
      <c r="S19" s="2" t="n">
        <v>2</v>
      </c>
      <c r="T19" s="2" t="n">
        <v>4</v>
      </c>
      <c r="U19" s="2" t="n">
        <v>0</v>
      </c>
      <c r="V19" s="2" t="n">
        <v>1</v>
      </c>
      <c r="W19" s="2"/>
      <c r="X19" s="2" t="n">
        <v>0.21</v>
      </c>
      <c r="Y19" s="2" t="n">
        <v>1.7</v>
      </c>
      <c r="Z19" s="2" t="n">
        <v>0.6</v>
      </c>
      <c r="AA19" s="2" t="n">
        <v>11.8</v>
      </c>
      <c r="AB19" s="2" t="n">
        <v>2</v>
      </c>
      <c r="AC19" s="2" t="n">
        <v>16</v>
      </c>
      <c r="AD19" s="2" t="n">
        <v>0.8</v>
      </c>
      <c r="AE19" s="2" t="n">
        <v>3</v>
      </c>
      <c r="AF19" s="2" t="n">
        <v>21</v>
      </c>
      <c r="AG19" s="2" t="n">
        <v>71.8</v>
      </c>
      <c r="AH19" s="2" t="n">
        <v>0.8</v>
      </c>
      <c r="AI19" s="2" t="n">
        <v>22.9</v>
      </c>
      <c r="AJ19" s="2" t="n">
        <v>1.6</v>
      </c>
      <c r="AK19" s="2" t="n">
        <v>45.7</v>
      </c>
      <c r="AL19" s="2"/>
      <c r="AM19" s="2"/>
      <c r="AN19" s="2" t="n">
        <v>6.3</v>
      </c>
      <c r="AO19" s="2" t="n">
        <v>2</v>
      </c>
      <c r="AP19" s="2" t="n">
        <v>1.6</v>
      </c>
      <c r="AQ19" s="2" t="n">
        <v>2.3</v>
      </c>
      <c r="AR19" s="2" t="n">
        <v>0.4</v>
      </c>
      <c r="AS19" s="2" t="n">
        <v>3.7</v>
      </c>
      <c r="AT19" s="2" t="n">
        <v>0.1</v>
      </c>
      <c r="AU19" s="2" t="n">
        <v>1.6</v>
      </c>
      <c r="AV19" s="2" t="n">
        <v>1.3</v>
      </c>
      <c r="AW19" s="2" t="n">
        <v>3</v>
      </c>
      <c r="AX19" s="2"/>
      <c r="AY19" s="2"/>
      <c r="AZ19" s="2"/>
      <c r="BA19" s="2"/>
      <c r="BB19" s="2"/>
      <c r="BC19" s="2"/>
      <c r="BD19" s="4" t="s">
        <v>145</v>
      </c>
    </row>
    <row r="20" customFormat="false" ht="15" hidden="false" customHeight="false" outlineLevel="0" collapsed="false">
      <c r="A20" s="2" t="n">
        <v>790332</v>
      </c>
      <c r="B20" s="2" t="s">
        <v>146</v>
      </c>
      <c r="C20" s="2" t="s">
        <v>57</v>
      </c>
      <c r="D20" s="2" t="s">
        <v>58</v>
      </c>
      <c r="E20" s="2" t="s">
        <v>59</v>
      </c>
      <c r="F20" s="2" t="s">
        <v>137</v>
      </c>
      <c r="G20" s="2" t="s">
        <v>147</v>
      </c>
      <c r="H20" s="2" t="s">
        <v>147</v>
      </c>
      <c r="I20" s="2" t="n">
        <v>9</v>
      </c>
      <c r="J20" s="2" t="n">
        <v>27</v>
      </c>
      <c r="K20" s="2" t="s">
        <v>148</v>
      </c>
      <c r="L20" s="2" t="s">
        <v>149</v>
      </c>
      <c r="M20" s="2" t="n">
        <v>178</v>
      </c>
      <c r="N20" s="3"/>
      <c r="O20" s="2"/>
      <c r="P20" s="2" t="n">
        <v>22</v>
      </c>
      <c r="Q20" s="3" t="n">
        <v>1163</v>
      </c>
      <c r="R20" s="2" t="n">
        <v>6.56</v>
      </c>
      <c r="S20" s="2" t="n">
        <v>0</v>
      </c>
      <c r="T20" s="2" t="n">
        <v>6</v>
      </c>
      <c r="U20" s="2" t="n">
        <v>0</v>
      </c>
      <c r="V20" s="2"/>
      <c r="W20" s="2"/>
      <c r="X20" s="2" t="n">
        <v>0.46</v>
      </c>
      <c r="Y20" s="2" t="n">
        <v>3</v>
      </c>
      <c r="Z20" s="2" t="n">
        <v>1.2</v>
      </c>
      <c r="AA20" s="2" t="n">
        <v>15.4</v>
      </c>
      <c r="AB20" s="2" t="n">
        <v>11</v>
      </c>
      <c r="AC20" s="2" t="n">
        <v>13</v>
      </c>
      <c r="AD20" s="2" t="n">
        <v>1</v>
      </c>
      <c r="AE20" s="2" t="n">
        <v>2</v>
      </c>
      <c r="AF20" s="2" t="n">
        <v>7.2</v>
      </c>
      <c r="AG20" s="2" t="n">
        <v>78.2</v>
      </c>
      <c r="AH20" s="2" t="n">
        <v>0.2</v>
      </c>
      <c r="AI20" s="2" t="n">
        <v>60</v>
      </c>
      <c r="AJ20" s="2" t="n">
        <v>0.5</v>
      </c>
      <c r="AK20" s="2" t="n">
        <v>50</v>
      </c>
      <c r="AL20" s="2"/>
      <c r="AM20" s="2"/>
      <c r="AN20" s="2" t="n">
        <v>2.1</v>
      </c>
      <c r="AO20" s="2" t="n">
        <v>0.7</v>
      </c>
      <c r="AP20" s="2" t="n">
        <v>0.3</v>
      </c>
      <c r="AQ20" s="2" t="n">
        <v>1.1</v>
      </c>
      <c r="AR20" s="2"/>
      <c r="AS20" s="2" t="n">
        <v>1.6</v>
      </c>
      <c r="AT20" s="2" t="n">
        <v>0.3</v>
      </c>
      <c r="AU20" s="2" t="n">
        <v>0.9</v>
      </c>
      <c r="AV20" s="2" t="n">
        <v>1.5</v>
      </c>
      <c r="AW20" s="2" t="n">
        <v>3</v>
      </c>
      <c r="AX20" s="2"/>
      <c r="AY20" s="2"/>
      <c r="AZ20" s="2"/>
      <c r="BA20" s="2"/>
      <c r="BB20" s="2"/>
      <c r="BC20" s="2"/>
      <c r="BD20" s="4" t="s">
        <v>150</v>
      </c>
    </row>
    <row r="21" customFormat="false" ht="15" hidden="false" customHeight="false" outlineLevel="0" collapsed="false">
      <c r="A21" s="2" t="n">
        <v>621524</v>
      </c>
      <c r="B21" s="2" t="s">
        <v>151</v>
      </c>
      <c r="C21" s="2" t="s">
        <v>57</v>
      </c>
      <c r="D21" s="2" t="s">
        <v>58</v>
      </c>
      <c r="E21" s="2" t="s">
        <v>59</v>
      </c>
      <c r="F21" s="2" t="s">
        <v>137</v>
      </c>
      <c r="G21" s="2" t="s">
        <v>147</v>
      </c>
      <c r="H21" s="2" t="s">
        <v>147</v>
      </c>
      <c r="I21" s="2" t="n">
        <v>17</v>
      </c>
      <c r="J21" s="2" t="n">
        <v>32</v>
      </c>
      <c r="K21" s="2" t="s">
        <v>152</v>
      </c>
      <c r="L21" s="2" t="s">
        <v>85</v>
      </c>
      <c r="M21" s="2" t="n">
        <v>185</v>
      </c>
      <c r="N21" s="3" t="n">
        <v>103832</v>
      </c>
      <c r="O21" s="2"/>
      <c r="P21" s="2" t="n">
        <v>21</v>
      </c>
      <c r="Q21" s="3" t="n">
        <v>1068</v>
      </c>
      <c r="R21" s="2" t="n">
        <v>6.92</v>
      </c>
      <c r="S21" s="2" t="n">
        <v>0</v>
      </c>
      <c r="T21" s="2" t="n">
        <v>7</v>
      </c>
      <c r="U21" s="2" t="n">
        <v>0</v>
      </c>
      <c r="V21" s="2" t="n">
        <v>2</v>
      </c>
      <c r="W21" s="2"/>
      <c r="X21" s="2" t="n">
        <v>0.59</v>
      </c>
      <c r="Y21" s="2" t="n">
        <v>2.3</v>
      </c>
      <c r="Z21" s="2" t="n">
        <v>0.8</v>
      </c>
      <c r="AA21" s="2" t="n">
        <v>25.9</v>
      </c>
      <c r="AB21" s="2" t="n">
        <v>2</v>
      </c>
      <c r="AC21" s="2" t="n">
        <v>16</v>
      </c>
      <c r="AD21" s="2" t="n">
        <v>1.3</v>
      </c>
      <c r="AE21" s="2" t="n">
        <v>3</v>
      </c>
      <c r="AF21" s="2" t="n">
        <v>12.7</v>
      </c>
      <c r="AG21" s="2" t="n">
        <v>75.5</v>
      </c>
      <c r="AH21" s="2" t="n">
        <v>0.4</v>
      </c>
      <c r="AI21" s="2" t="n">
        <v>62.5</v>
      </c>
      <c r="AJ21" s="2" t="n">
        <v>0.6</v>
      </c>
      <c r="AK21" s="2" t="n">
        <v>70</v>
      </c>
      <c r="AL21" s="2" t="n">
        <v>2</v>
      </c>
      <c r="AM21" s="2" t="n">
        <v>1.7</v>
      </c>
      <c r="AN21" s="2" t="n">
        <v>2.9</v>
      </c>
      <c r="AO21" s="2" t="n">
        <v>1.1</v>
      </c>
      <c r="AP21" s="2" t="n">
        <v>0.1</v>
      </c>
      <c r="AQ21" s="2" t="n">
        <v>1.7</v>
      </c>
      <c r="AR21" s="2"/>
      <c r="AS21" s="2" t="n">
        <v>1.9</v>
      </c>
      <c r="AT21" s="2" t="n">
        <v>0.3</v>
      </c>
      <c r="AU21" s="2" t="n">
        <v>1.2</v>
      </c>
      <c r="AV21" s="2" t="n">
        <v>2</v>
      </c>
      <c r="AW21" s="2" t="n">
        <v>6</v>
      </c>
      <c r="AX21" s="2"/>
      <c r="AY21" s="2"/>
      <c r="AZ21" s="2"/>
      <c r="BA21" s="2"/>
      <c r="BB21" s="2"/>
      <c r="BC21" s="2"/>
      <c r="BD21" s="4" t="s">
        <v>153</v>
      </c>
    </row>
    <row r="22" customFormat="false" ht="15" hidden="false" customHeight="false" outlineLevel="0" collapsed="false">
      <c r="A22" s="2" t="n">
        <v>622027</v>
      </c>
      <c r="B22" s="2" t="s">
        <v>154</v>
      </c>
      <c r="C22" s="2" t="s">
        <v>57</v>
      </c>
      <c r="D22" s="2" t="s">
        <v>58</v>
      </c>
      <c r="E22" s="2" t="s">
        <v>59</v>
      </c>
      <c r="F22" s="2" t="s">
        <v>137</v>
      </c>
      <c r="G22" s="2" t="s">
        <v>138</v>
      </c>
      <c r="H22" s="2" t="s">
        <v>138</v>
      </c>
      <c r="I22" s="2" t="n">
        <v>7</v>
      </c>
      <c r="J22" s="2" t="n">
        <v>29</v>
      </c>
      <c r="K22" s="2" t="s">
        <v>155</v>
      </c>
      <c r="L22" s="2" t="s">
        <v>67</v>
      </c>
      <c r="M22" s="2" t="n">
        <v>170</v>
      </c>
      <c r="N22" s="3"/>
      <c r="O22" s="2"/>
      <c r="P22" s="2" t="n">
        <v>14</v>
      </c>
      <c r="Q22" s="3" t="n">
        <v>197</v>
      </c>
      <c r="R22" s="2"/>
      <c r="S22" s="2"/>
      <c r="T22" s="2" t="n">
        <v>2</v>
      </c>
      <c r="U22" s="2" t="n">
        <v>1</v>
      </c>
      <c r="V22" s="2" t="n">
        <v>1</v>
      </c>
      <c r="W22" s="2"/>
      <c r="X22" s="2" t="n">
        <v>0.91</v>
      </c>
      <c r="Y22" s="2" t="n">
        <v>5</v>
      </c>
      <c r="Z22" s="2" t="n">
        <v>1.8</v>
      </c>
      <c r="AA22" s="2" t="n">
        <v>18.2</v>
      </c>
      <c r="AB22" s="2"/>
      <c r="AC22" s="2" t="n">
        <v>10</v>
      </c>
      <c r="AD22" s="2" t="n">
        <v>4.6</v>
      </c>
      <c r="AE22" s="2"/>
      <c r="AF22" s="2" t="n">
        <v>48.9</v>
      </c>
      <c r="AG22" s="2" t="n">
        <v>82.9</v>
      </c>
      <c r="AH22" s="2" t="n">
        <v>5.9</v>
      </c>
      <c r="AI22" s="2" t="n">
        <v>72.2</v>
      </c>
      <c r="AJ22" s="2" t="n">
        <v>0.9</v>
      </c>
      <c r="AK22" s="2" t="n">
        <v>22.2</v>
      </c>
      <c r="AL22" s="2" t="n">
        <v>1</v>
      </c>
      <c r="AM22" s="2" t="n">
        <v>5</v>
      </c>
      <c r="AN22" s="2" t="n">
        <v>1.4</v>
      </c>
      <c r="AO22" s="2" t="n">
        <v>0.5</v>
      </c>
      <c r="AP22" s="2" t="n">
        <v>0.5</v>
      </c>
      <c r="AQ22" s="2" t="n">
        <v>0.5</v>
      </c>
      <c r="AR22" s="2"/>
      <c r="AS22" s="2" t="n">
        <v>9.1</v>
      </c>
      <c r="AT22" s="2" t="n">
        <v>0.9</v>
      </c>
      <c r="AU22" s="2" t="n">
        <v>4.1</v>
      </c>
      <c r="AV22" s="2" t="n">
        <v>1.8</v>
      </c>
      <c r="AW22" s="2" t="n">
        <v>3</v>
      </c>
      <c r="AX22" s="2"/>
      <c r="AY22" s="2"/>
      <c r="AZ22" s="2"/>
      <c r="BA22" s="2"/>
      <c r="BB22" s="2"/>
      <c r="BC22" s="2"/>
      <c r="BD22" s="4" t="s">
        <v>156</v>
      </c>
    </row>
    <row r="23" customFormat="false" ht="15" hidden="false" customHeight="false" outlineLevel="0" collapsed="false">
      <c r="A23" s="2" t="n">
        <v>1780513</v>
      </c>
      <c r="B23" s="2" t="s">
        <v>157</v>
      </c>
      <c r="C23" s="2" t="s">
        <v>57</v>
      </c>
      <c r="D23" s="2" t="s">
        <v>58</v>
      </c>
      <c r="E23" s="2" t="s">
        <v>59</v>
      </c>
      <c r="F23" s="2" t="s">
        <v>137</v>
      </c>
      <c r="G23" s="2"/>
      <c r="H23" s="2"/>
      <c r="I23" s="2" t="n">
        <v>30</v>
      </c>
      <c r="J23" s="2" t="n">
        <v>18</v>
      </c>
      <c r="K23" s="2" t="s">
        <v>158</v>
      </c>
      <c r="L23" s="2" t="s">
        <v>67</v>
      </c>
      <c r="M23" s="2" t="n">
        <v>180</v>
      </c>
      <c r="N23" s="3"/>
      <c r="O23" s="2"/>
      <c r="P23" s="2"/>
      <c r="Q23" s="3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4" t="s">
        <v>159</v>
      </c>
    </row>
    <row r="24" customFormat="false" ht="15" hidden="false" customHeight="false" outlineLevel="0" collapsed="false">
      <c r="A24" s="2" t="n">
        <v>1781517</v>
      </c>
      <c r="B24" s="2" t="s">
        <v>160</v>
      </c>
      <c r="C24" s="2" t="s">
        <v>57</v>
      </c>
      <c r="D24" s="2" t="s">
        <v>58</v>
      </c>
      <c r="E24" s="2" t="s">
        <v>59</v>
      </c>
      <c r="F24" s="2" t="s">
        <v>137</v>
      </c>
      <c r="G24" s="2"/>
      <c r="H24" s="2"/>
      <c r="I24" s="2" t="n">
        <v>34</v>
      </c>
      <c r="J24" s="2" t="n">
        <v>18</v>
      </c>
      <c r="K24" s="2" t="s">
        <v>161</v>
      </c>
      <c r="L24" s="2" t="s">
        <v>85</v>
      </c>
      <c r="M24" s="2" t="n">
        <v>178</v>
      </c>
      <c r="N24" s="3"/>
      <c r="O24" s="2"/>
      <c r="P24" s="2"/>
      <c r="Q24" s="3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4" t="s">
        <v>162</v>
      </c>
    </row>
    <row r="25" customFormat="false" ht="15" hidden="false" customHeight="false" outlineLevel="0" collapsed="false">
      <c r="A25" s="2" t="n">
        <v>1171002</v>
      </c>
      <c r="B25" s="2" t="s">
        <v>163</v>
      </c>
      <c r="C25" s="2" t="s">
        <v>164</v>
      </c>
      <c r="D25" s="2" t="s">
        <v>58</v>
      </c>
      <c r="E25" s="2" t="s">
        <v>59</v>
      </c>
      <c r="F25" s="2" t="s">
        <v>60</v>
      </c>
      <c r="G25" s="2" t="s">
        <v>61</v>
      </c>
      <c r="H25" s="2" t="s">
        <v>61</v>
      </c>
      <c r="I25" s="2" t="n">
        <v>30</v>
      </c>
      <c r="J25" s="2" t="n">
        <v>24</v>
      </c>
      <c r="K25" s="2" t="s">
        <v>165</v>
      </c>
      <c r="L25" s="2" t="s">
        <v>67</v>
      </c>
      <c r="M25" s="2" t="n">
        <v>196</v>
      </c>
      <c r="N25" s="3"/>
      <c r="O25" s="2"/>
      <c r="P25" s="2" t="n">
        <v>12</v>
      </c>
      <c r="Q25" s="3" t="n">
        <v>1035</v>
      </c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 t="n">
        <v>1</v>
      </c>
      <c r="BA25" s="2"/>
      <c r="BB25" s="2"/>
      <c r="BC25" s="2"/>
      <c r="BD25" s="4" t="s">
        <v>166</v>
      </c>
    </row>
    <row r="26" customFormat="false" ht="15" hidden="false" customHeight="false" outlineLevel="0" collapsed="false">
      <c r="A26" s="2" t="n">
        <v>928437</v>
      </c>
      <c r="B26" s="2" t="s">
        <v>167</v>
      </c>
      <c r="C26" s="2" t="s">
        <v>164</v>
      </c>
      <c r="D26" s="2" t="s">
        <v>58</v>
      </c>
      <c r="E26" s="2" t="s">
        <v>59</v>
      </c>
      <c r="F26" s="2" t="s">
        <v>60</v>
      </c>
      <c r="G26" s="2" t="s">
        <v>61</v>
      </c>
      <c r="H26" s="2" t="s">
        <v>61</v>
      </c>
      <c r="I26" s="2" t="n">
        <v>1</v>
      </c>
      <c r="J26" s="2" t="n">
        <v>25</v>
      </c>
      <c r="K26" s="2" t="s">
        <v>168</v>
      </c>
      <c r="L26" s="2" t="s">
        <v>125</v>
      </c>
      <c r="M26" s="2" t="n">
        <v>191</v>
      </c>
      <c r="N26" s="3" t="n">
        <v>65115</v>
      </c>
      <c r="O26" s="2"/>
      <c r="P26" s="2" t="n">
        <v>11</v>
      </c>
      <c r="Q26" s="3" t="n">
        <v>930</v>
      </c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 t="n">
        <v>2</v>
      </c>
      <c r="AX26" s="2"/>
      <c r="AY26" s="2"/>
      <c r="AZ26" s="2" t="n">
        <v>1</v>
      </c>
      <c r="BA26" s="2"/>
      <c r="BB26" s="2"/>
      <c r="BC26" s="2"/>
      <c r="BD26" s="4" t="s">
        <v>169</v>
      </c>
    </row>
    <row r="27" customFormat="false" ht="15" hidden="false" customHeight="false" outlineLevel="0" collapsed="false">
      <c r="A27" s="2" t="n">
        <v>936220</v>
      </c>
      <c r="B27" s="2" t="s">
        <v>170</v>
      </c>
      <c r="C27" s="2" t="s">
        <v>164</v>
      </c>
      <c r="D27" s="2" t="s">
        <v>58</v>
      </c>
      <c r="E27" s="2" t="s">
        <v>59</v>
      </c>
      <c r="F27" s="2" t="s">
        <v>70</v>
      </c>
      <c r="G27" s="2" t="s">
        <v>75</v>
      </c>
      <c r="H27" s="2" t="s">
        <v>171</v>
      </c>
      <c r="I27" s="2" t="n">
        <v>92</v>
      </c>
      <c r="J27" s="2" t="n">
        <v>32</v>
      </c>
      <c r="K27" s="2" t="s">
        <v>172</v>
      </c>
      <c r="L27" s="2" t="s">
        <v>173</v>
      </c>
      <c r="M27" s="2" t="n">
        <v>180</v>
      </c>
      <c r="N27" s="3" t="n">
        <v>50000</v>
      </c>
      <c r="O27" s="2"/>
      <c r="P27" s="2" t="n">
        <v>23</v>
      </c>
      <c r="Q27" s="3" t="n">
        <v>1930</v>
      </c>
      <c r="R27" s="2" t="n">
        <v>6.61</v>
      </c>
      <c r="S27" s="2" t="n">
        <v>0</v>
      </c>
      <c r="T27" s="2"/>
      <c r="U27" s="2"/>
      <c r="V27" s="2" t="n">
        <v>2</v>
      </c>
      <c r="W27" s="2"/>
      <c r="X27" s="2"/>
      <c r="Y27" s="2" t="n">
        <v>0.6</v>
      </c>
      <c r="Z27" s="2" t="n">
        <v>0.1</v>
      </c>
      <c r="AA27" s="2" t="n">
        <v>0</v>
      </c>
      <c r="AB27" s="2" t="n">
        <v>1</v>
      </c>
      <c r="AC27" s="2" t="n">
        <v>14</v>
      </c>
      <c r="AD27" s="2" t="n">
        <v>0.7</v>
      </c>
      <c r="AE27" s="2" t="n">
        <v>1</v>
      </c>
      <c r="AF27" s="2" t="n">
        <v>35.5</v>
      </c>
      <c r="AG27" s="2" t="n">
        <v>76.9</v>
      </c>
      <c r="AH27" s="2" t="n">
        <v>2.5</v>
      </c>
      <c r="AI27" s="2" t="n">
        <v>36.2</v>
      </c>
      <c r="AJ27" s="2" t="n">
        <v>0.2</v>
      </c>
      <c r="AK27" s="2" t="n">
        <v>23.5</v>
      </c>
      <c r="AL27" s="2"/>
      <c r="AM27" s="2"/>
      <c r="AN27" s="2" t="n">
        <v>7.6</v>
      </c>
      <c r="AO27" s="2" t="n">
        <v>2.1</v>
      </c>
      <c r="AP27" s="2" t="n">
        <v>1.4</v>
      </c>
      <c r="AQ27" s="2" t="n">
        <v>3.5</v>
      </c>
      <c r="AR27" s="2" t="n">
        <v>0.7</v>
      </c>
      <c r="AS27" s="2" t="n">
        <v>4.1</v>
      </c>
      <c r="AT27" s="2" t="n">
        <v>0.3</v>
      </c>
      <c r="AU27" s="2" t="n">
        <v>1.6</v>
      </c>
      <c r="AV27" s="2" t="n">
        <v>0.9</v>
      </c>
      <c r="AW27" s="2" t="n">
        <v>2</v>
      </c>
      <c r="AX27" s="2"/>
      <c r="AY27" s="2"/>
      <c r="AZ27" s="2"/>
      <c r="BA27" s="2"/>
      <c r="BB27" s="2"/>
      <c r="BC27" s="2"/>
      <c r="BD27" s="4" t="s">
        <v>174</v>
      </c>
    </row>
    <row r="28" customFormat="false" ht="15" hidden="false" customHeight="false" outlineLevel="0" collapsed="false">
      <c r="A28" s="2" t="n">
        <v>1447526</v>
      </c>
      <c r="B28" s="2" t="s">
        <v>175</v>
      </c>
      <c r="C28" s="2" t="s">
        <v>164</v>
      </c>
      <c r="D28" s="2" t="s">
        <v>58</v>
      </c>
      <c r="E28" s="2" t="s">
        <v>59</v>
      </c>
      <c r="F28" s="2" t="s">
        <v>70</v>
      </c>
      <c r="G28" s="2" t="s">
        <v>71</v>
      </c>
      <c r="H28" s="2" t="s">
        <v>176</v>
      </c>
      <c r="I28" s="2" t="n">
        <v>3</v>
      </c>
      <c r="J28" s="2" t="n">
        <v>27</v>
      </c>
      <c r="K28" s="2" t="s">
        <v>177</v>
      </c>
      <c r="L28" s="2" t="s">
        <v>178</v>
      </c>
      <c r="M28" s="2" t="n">
        <v>185</v>
      </c>
      <c r="N28" s="3" t="n">
        <v>126237</v>
      </c>
      <c r="O28" s="2"/>
      <c r="P28" s="2" t="n">
        <v>23</v>
      </c>
      <c r="Q28" s="3" t="n">
        <v>1838</v>
      </c>
      <c r="R28" s="2" t="n">
        <v>6.41</v>
      </c>
      <c r="S28" s="2" t="n">
        <v>0</v>
      </c>
      <c r="T28" s="2"/>
      <c r="U28" s="2"/>
      <c r="V28" s="2"/>
      <c r="W28" s="2"/>
      <c r="X28" s="2"/>
      <c r="Y28" s="2" t="n">
        <v>0.4</v>
      </c>
      <c r="Z28" s="2" t="n">
        <v>0.1</v>
      </c>
      <c r="AA28" s="2" t="n">
        <v>0</v>
      </c>
      <c r="AB28" s="2"/>
      <c r="AC28" s="2" t="n">
        <v>9</v>
      </c>
      <c r="AD28" s="2" t="n">
        <v>0.4</v>
      </c>
      <c r="AE28" s="2" t="n">
        <v>1</v>
      </c>
      <c r="AF28" s="2" t="n">
        <v>31.1</v>
      </c>
      <c r="AG28" s="2" t="n">
        <v>77.2</v>
      </c>
      <c r="AH28" s="2" t="n">
        <v>2.4</v>
      </c>
      <c r="AI28" s="2" t="n">
        <v>39.5</v>
      </c>
      <c r="AJ28" s="2" t="n">
        <v>0.2</v>
      </c>
      <c r="AK28" s="2" t="n">
        <v>66.7</v>
      </c>
      <c r="AL28" s="2"/>
      <c r="AM28" s="2"/>
      <c r="AN28" s="2" t="n">
        <v>7.5</v>
      </c>
      <c r="AO28" s="2" t="n">
        <v>1.5</v>
      </c>
      <c r="AP28" s="2" t="n">
        <v>1.2</v>
      </c>
      <c r="AQ28" s="2" t="n">
        <v>4.4</v>
      </c>
      <c r="AR28" s="2" t="n">
        <v>0.5</v>
      </c>
      <c r="AS28" s="2" t="n">
        <v>3.5</v>
      </c>
      <c r="AT28" s="2" t="n">
        <v>0.1</v>
      </c>
      <c r="AU28" s="2" t="n">
        <v>1.1</v>
      </c>
      <c r="AV28" s="2" t="n">
        <v>1.6</v>
      </c>
      <c r="AW28" s="2" t="n">
        <v>5</v>
      </c>
      <c r="AX28" s="2" t="n">
        <v>2</v>
      </c>
      <c r="AY28" s="2" t="n">
        <v>1</v>
      </c>
      <c r="AZ28" s="2"/>
      <c r="BA28" s="2"/>
      <c r="BB28" s="2"/>
      <c r="BC28" s="2"/>
      <c r="BD28" s="4" t="s">
        <v>179</v>
      </c>
    </row>
    <row r="29" customFormat="false" ht="15" hidden="false" customHeight="false" outlineLevel="0" collapsed="false">
      <c r="A29" s="2" t="n">
        <v>1248123</v>
      </c>
      <c r="B29" s="2" t="s">
        <v>180</v>
      </c>
      <c r="C29" s="2" t="s">
        <v>164</v>
      </c>
      <c r="D29" s="2" t="s">
        <v>58</v>
      </c>
      <c r="E29" s="2" t="s">
        <v>59</v>
      </c>
      <c r="F29" s="2" t="s">
        <v>70</v>
      </c>
      <c r="G29" s="2" t="s">
        <v>75</v>
      </c>
      <c r="H29" s="2" t="s">
        <v>75</v>
      </c>
      <c r="I29" s="2" t="n">
        <v>6</v>
      </c>
      <c r="J29" s="2" t="n">
        <v>29</v>
      </c>
      <c r="K29" s="2" t="s">
        <v>181</v>
      </c>
      <c r="L29" s="2" t="s">
        <v>182</v>
      </c>
      <c r="M29" s="2" t="n">
        <v>186</v>
      </c>
      <c r="N29" s="3" t="n">
        <v>50000</v>
      </c>
      <c r="O29" s="2"/>
      <c r="P29" s="2" t="n">
        <v>21</v>
      </c>
      <c r="Q29" s="3" t="n">
        <v>1673</v>
      </c>
      <c r="R29" s="2" t="n">
        <v>6.67</v>
      </c>
      <c r="S29" s="2" t="n">
        <v>0</v>
      </c>
      <c r="T29" s="2"/>
      <c r="U29" s="2"/>
      <c r="V29" s="2"/>
      <c r="W29" s="2"/>
      <c r="X29" s="2"/>
      <c r="Y29" s="2" t="n">
        <v>0.5</v>
      </c>
      <c r="Z29" s="2" t="n">
        <v>0.2</v>
      </c>
      <c r="AA29" s="2" t="n">
        <v>0</v>
      </c>
      <c r="AB29" s="2"/>
      <c r="AC29" s="2" t="n">
        <v>9</v>
      </c>
      <c r="AD29" s="2" t="n">
        <v>0.5</v>
      </c>
      <c r="AE29" s="2" t="n">
        <v>2</v>
      </c>
      <c r="AF29" s="2" t="n">
        <v>41.7</v>
      </c>
      <c r="AG29" s="2" t="n">
        <v>80.2</v>
      </c>
      <c r="AH29" s="2" t="n">
        <v>3.9</v>
      </c>
      <c r="AI29" s="2" t="n">
        <v>44.5</v>
      </c>
      <c r="AJ29" s="2" t="n">
        <v>0.1</v>
      </c>
      <c r="AK29" s="2" t="n">
        <v>100</v>
      </c>
      <c r="AL29" s="2"/>
      <c r="AM29" s="2"/>
      <c r="AN29" s="2" t="n">
        <v>11.4</v>
      </c>
      <c r="AO29" s="2" t="n">
        <v>1.3</v>
      </c>
      <c r="AP29" s="2" t="n">
        <v>1.7</v>
      </c>
      <c r="AQ29" s="2" t="n">
        <v>7.7</v>
      </c>
      <c r="AR29" s="2" t="n">
        <v>0.6</v>
      </c>
      <c r="AS29" s="2" t="n">
        <v>3.2</v>
      </c>
      <c r="AT29" s="2"/>
      <c r="AU29" s="2"/>
      <c r="AV29" s="2" t="n">
        <v>1.2</v>
      </c>
      <c r="AW29" s="2" t="n">
        <v>6</v>
      </c>
      <c r="AX29" s="2"/>
      <c r="AY29" s="2"/>
      <c r="AZ29" s="2"/>
      <c r="BA29" s="2"/>
      <c r="BB29" s="2"/>
      <c r="BC29" s="2"/>
      <c r="BD29" s="4" t="s">
        <v>183</v>
      </c>
    </row>
    <row r="30" customFormat="false" ht="15" hidden="false" customHeight="false" outlineLevel="0" collapsed="false">
      <c r="A30" s="2" t="n">
        <v>1935110</v>
      </c>
      <c r="B30" s="2" t="s">
        <v>184</v>
      </c>
      <c r="C30" s="2" t="s">
        <v>164</v>
      </c>
      <c r="D30" s="2" t="s">
        <v>58</v>
      </c>
      <c r="E30" s="2" t="s">
        <v>59</v>
      </c>
      <c r="F30" s="2" t="s">
        <v>70</v>
      </c>
      <c r="G30" s="2" t="s">
        <v>75</v>
      </c>
      <c r="H30" s="2" t="s">
        <v>185</v>
      </c>
      <c r="I30" s="2" t="n">
        <v>24</v>
      </c>
      <c r="J30" s="2" t="n">
        <v>22</v>
      </c>
      <c r="K30" s="2" t="s">
        <v>186</v>
      </c>
      <c r="L30" s="2" t="s">
        <v>110</v>
      </c>
      <c r="M30" s="2" t="n">
        <v>188</v>
      </c>
      <c r="N30" s="3" t="n">
        <v>119504</v>
      </c>
      <c r="O30" s="2"/>
      <c r="P30" s="2" t="n">
        <v>18</v>
      </c>
      <c r="Q30" s="3" t="n">
        <v>1260</v>
      </c>
      <c r="R30" s="2" t="n">
        <v>6.69</v>
      </c>
      <c r="S30" s="2" t="n">
        <v>0</v>
      </c>
      <c r="T30" s="2"/>
      <c r="U30" s="2"/>
      <c r="V30" s="2"/>
      <c r="W30" s="2"/>
      <c r="X30" s="2"/>
      <c r="Y30" s="2" t="n">
        <v>0.4</v>
      </c>
      <c r="Z30" s="2" t="n">
        <v>0.2</v>
      </c>
      <c r="AA30" s="2" t="n">
        <v>0</v>
      </c>
      <c r="AB30" s="2" t="n">
        <v>1</v>
      </c>
      <c r="AC30" s="2" t="n">
        <v>3</v>
      </c>
      <c r="AD30" s="2" t="n">
        <v>0.2</v>
      </c>
      <c r="AE30" s="2"/>
      <c r="AF30" s="2" t="n">
        <v>29.8</v>
      </c>
      <c r="AG30" s="2" t="n">
        <v>81.4</v>
      </c>
      <c r="AH30" s="2" t="n">
        <v>1.1</v>
      </c>
      <c r="AI30" s="2" t="n">
        <v>32</v>
      </c>
      <c r="AJ30" s="2"/>
      <c r="AK30" s="2"/>
      <c r="AL30" s="2"/>
      <c r="AM30" s="2"/>
      <c r="AN30" s="2" t="n">
        <v>10.6</v>
      </c>
      <c r="AO30" s="2" t="n">
        <v>2.1</v>
      </c>
      <c r="AP30" s="2" t="n">
        <v>2.1</v>
      </c>
      <c r="AQ30" s="2" t="n">
        <v>5.6</v>
      </c>
      <c r="AR30" s="2" t="n">
        <v>0.7</v>
      </c>
      <c r="AS30" s="2" t="n">
        <v>3.5</v>
      </c>
      <c r="AT30" s="2" t="n">
        <v>0.1</v>
      </c>
      <c r="AU30" s="2" t="n">
        <v>1.6</v>
      </c>
      <c r="AV30" s="2" t="n">
        <v>1.6</v>
      </c>
      <c r="AW30" s="2" t="n">
        <v>4</v>
      </c>
      <c r="AX30" s="2"/>
      <c r="AY30" s="2" t="n">
        <v>1</v>
      </c>
      <c r="AZ30" s="2"/>
      <c r="BA30" s="2"/>
      <c r="BB30" s="2"/>
      <c r="BC30" s="2"/>
      <c r="BD30" s="4" t="s">
        <v>187</v>
      </c>
    </row>
    <row r="31" customFormat="false" ht="15" hidden="false" customHeight="false" outlineLevel="0" collapsed="false">
      <c r="A31" s="2" t="n">
        <v>388894</v>
      </c>
      <c r="B31" s="2" t="s">
        <v>188</v>
      </c>
      <c r="C31" s="2" t="s">
        <v>164</v>
      </c>
      <c r="D31" s="2" t="s">
        <v>58</v>
      </c>
      <c r="E31" s="2" t="s">
        <v>59</v>
      </c>
      <c r="F31" s="2" t="s">
        <v>70</v>
      </c>
      <c r="G31" s="2" t="s">
        <v>92</v>
      </c>
      <c r="H31" s="2" t="s">
        <v>189</v>
      </c>
      <c r="I31" s="2" t="n">
        <v>23</v>
      </c>
      <c r="J31" s="2" t="n">
        <v>32</v>
      </c>
      <c r="K31" s="2" t="s">
        <v>190</v>
      </c>
      <c r="L31" s="2" t="s">
        <v>191</v>
      </c>
      <c r="M31" s="2" t="n">
        <v>175</v>
      </c>
      <c r="N31" s="3" t="n">
        <v>50000</v>
      </c>
      <c r="O31" s="2"/>
      <c r="P31" s="2" t="n">
        <v>18</v>
      </c>
      <c r="Q31" s="3" t="n">
        <v>1118</v>
      </c>
      <c r="R31" s="2" t="n">
        <v>6.72</v>
      </c>
      <c r="S31" s="2" t="n">
        <v>0</v>
      </c>
      <c r="T31" s="2"/>
      <c r="U31" s="2"/>
      <c r="V31" s="2"/>
      <c r="W31" s="2"/>
      <c r="X31" s="2"/>
      <c r="Y31" s="2" t="n">
        <v>0.2</v>
      </c>
      <c r="Z31" s="2"/>
      <c r="AA31" s="2" t="n">
        <v>0</v>
      </c>
      <c r="AB31" s="2"/>
      <c r="AC31" s="2" t="n">
        <v>5</v>
      </c>
      <c r="AD31" s="2" t="n">
        <v>0.4</v>
      </c>
      <c r="AE31" s="2"/>
      <c r="AF31" s="2" t="n">
        <v>28.5</v>
      </c>
      <c r="AG31" s="2" t="n">
        <v>77</v>
      </c>
      <c r="AH31" s="2" t="n">
        <v>2.5</v>
      </c>
      <c r="AI31" s="2" t="n">
        <v>43.7</v>
      </c>
      <c r="AJ31" s="2" t="n">
        <v>0.5</v>
      </c>
      <c r="AK31" s="2" t="n">
        <v>50</v>
      </c>
      <c r="AL31" s="2"/>
      <c r="AM31" s="2"/>
      <c r="AN31" s="2" t="n">
        <v>7.5</v>
      </c>
      <c r="AO31" s="2" t="n">
        <v>2.4</v>
      </c>
      <c r="AP31" s="2" t="n">
        <v>1.1</v>
      </c>
      <c r="AQ31" s="2" t="n">
        <v>3.5</v>
      </c>
      <c r="AR31" s="2" t="n">
        <v>0.4</v>
      </c>
      <c r="AS31" s="2" t="n">
        <v>4.1</v>
      </c>
      <c r="AT31" s="2" t="n">
        <v>0.2</v>
      </c>
      <c r="AU31" s="2" t="n">
        <v>2</v>
      </c>
      <c r="AV31" s="2" t="n">
        <v>1</v>
      </c>
      <c r="AW31" s="2" t="n">
        <v>1</v>
      </c>
      <c r="AX31" s="2"/>
      <c r="AY31" s="2"/>
      <c r="AZ31" s="2"/>
      <c r="BA31" s="2"/>
      <c r="BB31" s="2"/>
      <c r="BC31" s="2"/>
      <c r="BD31" s="4" t="s">
        <v>192</v>
      </c>
    </row>
    <row r="32" customFormat="false" ht="15" hidden="false" customHeight="false" outlineLevel="0" collapsed="false">
      <c r="A32" s="2" t="n">
        <v>1024286</v>
      </c>
      <c r="B32" s="2" t="s">
        <v>193</v>
      </c>
      <c r="C32" s="2" t="s">
        <v>164</v>
      </c>
      <c r="D32" s="2" t="s">
        <v>58</v>
      </c>
      <c r="E32" s="2" t="s">
        <v>59</v>
      </c>
      <c r="F32" s="2" t="s">
        <v>70</v>
      </c>
      <c r="G32" s="2" t="s">
        <v>75</v>
      </c>
      <c r="H32" s="2" t="s">
        <v>75</v>
      </c>
      <c r="I32" s="2" t="n">
        <v>4</v>
      </c>
      <c r="J32" s="2" t="n">
        <v>26</v>
      </c>
      <c r="K32" s="2" t="s">
        <v>194</v>
      </c>
      <c r="L32" s="2" t="s">
        <v>116</v>
      </c>
      <c r="M32" s="2" t="n">
        <v>196</v>
      </c>
      <c r="N32" s="3" t="n">
        <v>55715</v>
      </c>
      <c r="O32" s="2"/>
      <c r="P32" s="2" t="n">
        <v>14</v>
      </c>
      <c r="Q32" s="3" t="n">
        <v>783</v>
      </c>
      <c r="R32" s="2" t="n">
        <v>6.34</v>
      </c>
      <c r="S32" s="2" t="n">
        <v>0</v>
      </c>
      <c r="T32" s="2"/>
      <c r="U32" s="2"/>
      <c r="V32" s="2"/>
      <c r="W32" s="2"/>
      <c r="X32" s="2"/>
      <c r="Y32" s="2" t="n">
        <v>0.2</v>
      </c>
      <c r="Z32" s="2"/>
      <c r="AA32" s="2" t="n">
        <v>0</v>
      </c>
      <c r="AB32" s="2" t="n">
        <v>1</v>
      </c>
      <c r="AC32" s="2" t="n">
        <v>3</v>
      </c>
      <c r="AD32" s="2" t="n">
        <v>0.3</v>
      </c>
      <c r="AE32" s="2"/>
      <c r="AF32" s="2" t="n">
        <v>37.8</v>
      </c>
      <c r="AG32" s="2" t="n">
        <v>78.5</v>
      </c>
      <c r="AH32" s="2" t="n">
        <v>4.7</v>
      </c>
      <c r="AI32" s="2" t="n">
        <v>46.1</v>
      </c>
      <c r="AJ32" s="2"/>
      <c r="AK32" s="2"/>
      <c r="AL32" s="2"/>
      <c r="AM32" s="2"/>
      <c r="AN32" s="2" t="n">
        <v>9.5</v>
      </c>
      <c r="AO32" s="2" t="n">
        <v>1.1</v>
      </c>
      <c r="AP32" s="2" t="n">
        <v>1</v>
      </c>
      <c r="AQ32" s="2" t="n">
        <v>6.6</v>
      </c>
      <c r="AR32" s="2" t="n">
        <v>0.8</v>
      </c>
      <c r="AS32" s="2" t="n">
        <v>2.9</v>
      </c>
      <c r="AT32" s="2"/>
      <c r="AU32" s="2"/>
      <c r="AV32" s="2" t="n">
        <v>1</v>
      </c>
      <c r="AW32" s="2" t="n">
        <v>2</v>
      </c>
      <c r="AX32" s="2"/>
      <c r="AY32" s="2"/>
      <c r="AZ32" s="2"/>
      <c r="BA32" s="2"/>
      <c r="BB32" s="2"/>
      <c r="BC32" s="2"/>
      <c r="BD32" s="4" t="s">
        <v>195</v>
      </c>
    </row>
    <row r="33" customFormat="false" ht="15" hidden="false" customHeight="false" outlineLevel="0" collapsed="false">
      <c r="A33" s="2" t="n">
        <v>1138224</v>
      </c>
      <c r="B33" s="2" t="s">
        <v>196</v>
      </c>
      <c r="C33" s="2" t="s">
        <v>164</v>
      </c>
      <c r="D33" s="2" t="s">
        <v>58</v>
      </c>
      <c r="E33" s="2" t="s">
        <v>59</v>
      </c>
      <c r="F33" s="2" t="s">
        <v>70</v>
      </c>
      <c r="G33" s="2" t="s">
        <v>71</v>
      </c>
      <c r="H33" s="2" t="s">
        <v>71</v>
      </c>
      <c r="I33" s="2" t="n">
        <v>13</v>
      </c>
      <c r="J33" s="2" t="n">
        <v>25</v>
      </c>
      <c r="K33" s="2" t="s">
        <v>197</v>
      </c>
      <c r="L33" s="2" t="s">
        <v>198</v>
      </c>
      <c r="M33" s="2" t="n">
        <v>178</v>
      </c>
      <c r="N33" s="3" t="n">
        <v>50000</v>
      </c>
      <c r="O33" s="2"/>
      <c r="P33" s="2" t="n">
        <v>13</v>
      </c>
      <c r="Q33" s="3" t="n">
        <v>411</v>
      </c>
      <c r="R33" s="2"/>
      <c r="S33" s="2"/>
      <c r="T33" s="2"/>
      <c r="U33" s="2"/>
      <c r="V33" s="2" t="n">
        <v>1</v>
      </c>
      <c r="W33" s="2"/>
      <c r="X33" s="2"/>
      <c r="Y33" s="2" t="n">
        <v>1.1</v>
      </c>
      <c r="Z33" s="2" t="n">
        <v>0.2</v>
      </c>
      <c r="AA33" s="2" t="n">
        <v>0</v>
      </c>
      <c r="AB33" s="2"/>
      <c r="AC33" s="2" t="n">
        <v>6</v>
      </c>
      <c r="AD33" s="2" t="n">
        <v>1.3</v>
      </c>
      <c r="AE33" s="2" t="n">
        <v>2</v>
      </c>
      <c r="AF33" s="2" t="n">
        <v>35.7</v>
      </c>
      <c r="AG33" s="2" t="n">
        <v>74.8</v>
      </c>
      <c r="AH33" s="2" t="n">
        <v>2.6</v>
      </c>
      <c r="AI33" s="2" t="n">
        <v>33.3</v>
      </c>
      <c r="AJ33" s="2" t="n">
        <v>2.2</v>
      </c>
      <c r="AK33" s="2" t="n">
        <v>71.4</v>
      </c>
      <c r="AL33" s="2"/>
      <c r="AM33" s="2"/>
      <c r="AN33" s="2" t="n">
        <v>8.3</v>
      </c>
      <c r="AO33" s="2" t="n">
        <v>0.9</v>
      </c>
      <c r="AP33" s="2" t="n">
        <v>1.5</v>
      </c>
      <c r="AQ33" s="2" t="n">
        <v>5.7</v>
      </c>
      <c r="AR33" s="2" t="n">
        <v>0.2</v>
      </c>
      <c r="AS33" s="2" t="n">
        <v>6.1</v>
      </c>
      <c r="AT33" s="2" t="n">
        <v>0.2</v>
      </c>
      <c r="AU33" s="2" t="n">
        <v>3.3</v>
      </c>
      <c r="AV33" s="2" t="n">
        <v>0.9</v>
      </c>
      <c r="AW33" s="2" t="n">
        <v>2</v>
      </c>
      <c r="AX33" s="2"/>
      <c r="AY33" s="2"/>
      <c r="AZ33" s="2"/>
      <c r="BA33" s="2"/>
      <c r="BB33" s="2"/>
      <c r="BC33" s="2"/>
      <c r="BD33" s="4" t="s">
        <v>199</v>
      </c>
    </row>
    <row r="34" customFormat="false" ht="15" hidden="false" customHeight="false" outlineLevel="0" collapsed="false">
      <c r="A34" s="2" t="n">
        <v>1724754</v>
      </c>
      <c r="B34" s="2" t="s">
        <v>200</v>
      </c>
      <c r="C34" s="2" t="s">
        <v>164</v>
      </c>
      <c r="D34" s="2" t="s">
        <v>58</v>
      </c>
      <c r="E34" s="2" t="s">
        <v>59</v>
      </c>
      <c r="F34" s="2" t="s">
        <v>102</v>
      </c>
      <c r="G34" s="2" t="s">
        <v>103</v>
      </c>
      <c r="H34" s="2" t="s">
        <v>123</v>
      </c>
      <c r="I34" s="2" t="n">
        <v>86</v>
      </c>
      <c r="J34" s="2" t="n">
        <v>25</v>
      </c>
      <c r="K34" s="2" t="s">
        <v>201</v>
      </c>
      <c r="L34" s="2" t="s">
        <v>198</v>
      </c>
      <c r="M34" s="2" t="n">
        <v>175</v>
      </c>
      <c r="N34" s="3" t="n">
        <v>99198</v>
      </c>
      <c r="O34" s="2"/>
      <c r="P34" s="2" t="n">
        <v>21</v>
      </c>
      <c r="Q34" s="3" t="n">
        <v>1624</v>
      </c>
      <c r="R34" s="2" t="n">
        <v>6.6</v>
      </c>
      <c r="S34" s="2" t="n">
        <v>0</v>
      </c>
      <c r="T34" s="2"/>
      <c r="U34" s="2"/>
      <c r="V34" s="2"/>
      <c r="W34" s="2"/>
      <c r="X34" s="2"/>
      <c r="Y34" s="2" t="n">
        <v>0.3</v>
      </c>
      <c r="Z34" s="2" t="n">
        <v>0.2</v>
      </c>
      <c r="AA34" s="2" t="n">
        <v>0</v>
      </c>
      <c r="AB34" s="2"/>
      <c r="AC34" s="2" t="n">
        <v>7</v>
      </c>
      <c r="AD34" s="2" t="n">
        <v>0.4</v>
      </c>
      <c r="AE34" s="2"/>
      <c r="AF34" s="2" t="n">
        <v>30.1</v>
      </c>
      <c r="AG34" s="2" t="n">
        <v>77.6</v>
      </c>
      <c r="AH34" s="2" t="n">
        <v>1.9</v>
      </c>
      <c r="AI34" s="2" t="n">
        <v>37</v>
      </c>
      <c r="AJ34" s="2" t="n">
        <v>0.4</v>
      </c>
      <c r="AK34" s="2" t="n">
        <v>57.1</v>
      </c>
      <c r="AL34" s="2"/>
      <c r="AM34" s="2"/>
      <c r="AN34" s="2" t="n">
        <v>4.5</v>
      </c>
      <c r="AO34" s="2" t="n">
        <v>1.6</v>
      </c>
      <c r="AP34" s="2" t="n">
        <v>1</v>
      </c>
      <c r="AQ34" s="2" t="n">
        <v>1.7</v>
      </c>
      <c r="AR34" s="2" t="n">
        <v>0.2</v>
      </c>
      <c r="AS34" s="2" t="n">
        <v>4.9</v>
      </c>
      <c r="AT34" s="2" t="n">
        <v>0.6</v>
      </c>
      <c r="AU34" s="2" t="n">
        <v>2.4</v>
      </c>
      <c r="AV34" s="2" t="n">
        <v>0.9</v>
      </c>
      <c r="AW34" s="2" t="n">
        <v>2</v>
      </c>
      <c r="AX34" s="2"/>
      <c r="AY34" s="2"/>
      <c r="AZ34" s="2"/>
      <c r="BA34" s="2"/>
      <c r="BB34" s="2"/>
      <c r="BC34" s="2"/>
      <c r="BD34" s="4" t="s">
        <v>202</v>
      </c>
    </row>
    <row r="35" customFormat="false" ht="15" hidden="false" customHeight="false" outlineLevel="0" collapsed="false">
      <c r="A35" s="2" t="n">
        <v>526485</v>
      </c>
      <c r="B35" s="2" t="s">
        <v>203</v>
      </c>
      <c r="C35" s="2" t="s">
        <v>164</v>
      </c>
      <c r="D35" s="2" t="s">
        <v>58</v>
      </c>
      <c r="E35" s="2" t="s">
        <v>59</v>
      </c>
      <c r="F35" s="2" t="s">
        <v>102</v>
      </c>
      <c r="G35" s="2" t="s">
        <v>103</v>
      </c>
      <c r="H35" s="2" t="s">
        <v>204</v>
      </c>
      <c r="I35" s="2" t="n">
        <v>7</v>
      </c>
      <c r="J35" s="2" t="n">
        <v>35</v>
      </c>
      <c r="K35" s="2" t="s">
        <v>205</v>
      </c>
      <c r="L35" s="2" t="s">
        <v>67</v>
      </c>
      <c r="M35" s="2" t="n">
        <v>185</v>
      </c>
      <c r="N35" s="3" t="n">
        <v>50000</v>
      </c>
      <c r="O35" s="2"/>
      <c r="P35" s="2" t="n">
        <v>23</v>
      </c>
      <c r="Q35" s="3" t="n">
        <v>1391</v>
      </c>
      <c r="R35" s="2" t="n">
        <v>6.56</v>
      </c>
      <c r="S35" s="2" t="n">
        <v>1</v>
      </c>
      <c r="T35" s="2" t="n">
        <v>2</v>
      </c>
      <c r="U35" s="2" t="n">
        <v>2</v>
      </c>
      <c r="V35" s="2" t="n">
        <v>1</v>
      </c>
      <c r="W35" s="2"/>
      <c r="X35" s="2" t="n">
        <v>0.13</v>
      </c>
      <c r="Y35" s="2" t="n">
        <v>0.8</v>
      </c>
      <c r="Z35" s="2" t="n">
        <v>0.3</v>
      </c>
      <c r="AA35" s="2" t="n">
        <v>15.4</v>
      </c>
      <c r="AB35" s="2"/>
      <c r="AC35" s="2" t="n">
        <v>16</v>
      </c>
      <c r="AD35" s="2" t="n">
        <v>1</v>
      </c>
      <c r="AE35" s="2" t="n">
        <v>2</v>
      </c>
      <c r="AF35" s="2" t="n">
        <v>40.8</v>
      </c>
      <c r="AG35" s="2" t="n">
        <v>85.9</v>
      </c>
      <c r="AH35" s="2" t="n">
        <v>2.3</v>
      </c>
      <c r="AI35" s="2" t="n">
        <v>55.4</v>
      </c>
      <c r="AJ35" s="2" t="n">
        <v>0.3</v>
      </c>
      <c r="AK35" s="2" t="n">
        <v>50</v>
      </c>
      <c r="AL35" s="2" t="n">
        <v>1</v>
      </c>
      <c r="AM35" s="2" t="n">
        <v>1.6</v>
      </c>
      <c r="AN35" s="2" t="n">
        <v>3.8</v>
      </c>
      <c r="AO35" s="2" t="n">
        <v>1.5</v>
      </c>
      <c r="AP35" s="2" t="n">
        <v>0.8</v>
      </c>
      <c r="AQ35" s="2" t="n">
        <v>1.3</v>
      </c>
      <c r="AR35" s="2" t="n">
        <v>0.2</v>
      </c>
      <c r="AS35" s="2" t="n">
        <v>3.2</v>
      </c>
      <c r="AT35" s="2" t="n">
        <v>0.3</v>
      </c>
      <c r="AU35" s="2" t="n">
        <v>1.8</v>
      </c>
      <c r="AV35" s="2" t="n">
        <v>0.9</v>
      </c>
      <c r="AW35" s="2" t="n">
        <v>4</v>
      </c>
      <c r="AX35" s="2" t="n">
        <v>1</v>
      </c>
      <c r="AY35" s="2"/>
      <c r="AZ35" s="2"/>
      <c r="BA35" s="2"/>
      <c r="BB35" s="2"/>
      <c r="BC35" s="2"/>
      <c r="BD35" s="4" t="s">
        <v>206</v>
      </c>
    </row>
    <row r="36" customFormat="false" ht="15" hidden="false" customHeight="false" outlineLevel="0" collapsed="false">
      <c r="A36" s="2" t="n">
        <v>1440048</v>
      </c>
      <c r="B36" s="2" t="s">
        <v>207</v>
      </c>
      <c r="C36" s="2" t="s">
        <v>164</v>
      </c>
      <c r="D36" s="2" t="s">
        <v>58</v>
      </c>
      <c r="E36" s="2" t="s">
        <v>59</v>
      </c>
      <c r="F36" s="2" t="s">
        <v>102</v>
      </c>
      <c r="G36" s="2" t="s">
        <v>103</v>
      </c>
      <c r="H36" s="2" t="s">
        <v>208</v>
      </c>
      <c r="I36" s="2" t="n">
        <v>5</v>
      </c>
      <c r="J36" s="2" t="n">
        <v>24</v>
      </c>
      <c r="K36" s="2" t="s">
        <v>209</v>
      </c>
      <c r="L36" s="2" t="s">
        <v>67</v>
      </c>
      <c r="M36" s="2" t="n">
        <v>180</v>
      </c>
      <c r="N36" s="3" t="n">
        <v>68062</v>
      </c>
      <c r="O36" s="2"/>
      <c r="P36" s="2" t="n">
        <v>19</v>
      </c>
      <c r="Q36" s="3" t="n">
        <v>1098</v>
      </c>
      <c r="R36" s="2" t="n">
        <v>6.14</v>
      </c>
      <c r="S36" s="2" t="n">
        <v>0</v>
      </c>
      <c r="T36" s="2"/>
      <c r="U36" s="2"/>
      <c r="V36" s="2"/>
      <c r="W36" s="2"/>
      <c r="X36" s="2"/>
      <c r="Y36" s="2" t="n">
        <v>0.6</v>
      </c>
      <c r="Z36" s="2" t="n">
        <v>0.2</v>
      </c>
      <c r="AA36" s="2" t="n">
        <v>0</v>
      </c>
      <c r="AB36" s="2"/>
      <c r="AC36" s="2" t="n">
        <v>5</v>
      </c>
      <c r="AD36" s="2" t="n">
        <v>0.4</v>
      </c>
      <c r="AE36" s="2"/>
      <c r="AF36" s="2" t="n">
        <v>27.5</v>
      </c>
      <c r="AG36" s="2" t="n">
        <v>78</v>
      </c>
      <c r="AH36" s="2" t="n">
        <v>1.5</v>
      </c>
      <c r="AI36" s="2" t="n">
        <v>40</v>
      </c>
      <c r="AJ36" s="2" t="n">
        <v>0.1</v>
      </c>
      <c r="AK36" s="2" t="n">
        <v>16.7</v>
      </c>
      <c r="AL36" s="2"/>
      <c r="AM36" s="2"/>
      <c r="AN36" s="2" t="n">
        <v>5.9</v>
      </c>
      <c r="AO36" s="2" t="n">
        <v>2.3</v>
      </c>
      <c r="AP36" s="2" t="n">
        <v>1.1</v>
      </c>
      <c r="AQ36" s="2" t="n">
        <v>2</v>
      </c>
      <c r="AR36" s="2" t="n">
        <v>0.5</v>
      </c>
      <c r="AS36" s="2" t="n">
        <v>3.2</v>
      </c>
      <c r="AT36" s="2" t="n">
        <v>0.2</v>
      </c>
      <c r="AU36" s="2" t="n">
        <v>1.6</v>
      </c>
      <c r="AV36" s="2" t="n">
        <v>1.5</v>
      </c>
      <c r="AW36" s="2" t="n">
        <v>2</v>
      </c>
      <c r="AX36" s="2"/>
      <c r="AY36" s="2" t="n">
        <v>1</v>
      </c>
      <c r="AZ36" s="2"/>
      <c r="BA36" s="2"/>
      <c r="BB36" s="2"/>
      <c r="BC36" s="2"/>
      <c r="BD36" s="4" t="s">
        <v>210</v>
      </c>
    </row>
    <row r="37" customFormat="false" ht="15" hidden="false" customHeight="false" outlineLevel="0" collapsed="false">
      <c r="A37" s="2" t="n">
        <v>1170973</v>
      </c>
      <c r="B37" s="2" t="s">
        <v>211</v>
      </c>
      <c r="C37" s="2" t="s">
        <v>164</v>
      </c>
      <c r="D37" s="2" t="s">
        <v>58</v>
      </c>
      <c r="E37" s="2" t="s">
        <v>59</v>
      </c>
      <c r="F37" s="2" t="s">
        <v>102</v>
      </c>
      <c r="G37" s="2" t="s">
        <v>113</v>
      </c>
      <c r="H37" s="2" t="s">
        <v>212</v>
      </c>
      <c r="I37" s="2" t="n">
        <v>11</v>
      </c>
      <c r="J37" s="2" t="n">
        <v>25</v>
      </c>
      <c r="K37" s="2" t="s">
        <v>213</v>
      </c>
      <c r="L37" s="2" t="s">
        <v>214</v>
      </c>
      <c r="M37" s="2" t="n">
        <v>183</v>
      </c>
      <c r="N37" s="3" t="n">
        <v>78213</v>
      </c>
      <c r="O37" s="2"/>
      <c r="P37" s="2" t="n">
        <v>20</v>
      </c>
      <c r="Q37" s="3" t="n">
        <v>955</v>
      </c>
      <c r="R37" s="2" t="n">
        <v>6.43</v>
      </c>
      <c r="S37" s="2" t="n">
        <v>0</v>
      </c>
      <c r="T37" s="2" t="n">
        <v>1</v>
      </c>
      <c r="U37" s="2" t="n">
        <v>0</v>
      </c>
      <c r="V37" s="2"/>
      <c r="W37" s="2"/>
      <c r="X37" s="2" t="n">
        <v>0.09</v>
      </c>
      <c r="Y37" s="2" t="n">
        <v>0.9</v>
      </c>
      <c r="Z37" s="2" t="n">
        <v>0.3</v>
      </c>
      <c r="AA37" s="2" t="n">
        <v>10</v>
      </c>
      <c r="AB37" s="2"/>
      <c r="AC37" s="2" t="n">
        <v>12</v>
      </c>
      <c r="AD37" s="2" t="n">
        <v>1.1</v>
      </c>
      <c r="AE37" s="2"/>
      <c r="AF37" s="2" t="n">
        <v>17.4</v>
      </c>
      <c r="AG37" s="2" t="n">
        <v>72.8</v>
      </c>
      <c r="AH37" s="2" t="n">
        <v>1.1</v>
      </c>
      <c r="AI37" s="2" t="n">
        <v>40</v>
      </c>
      <c r="AJ37" s="2" t="n">
        <v>1.5</v>
      </c>
      <c r="AK37" s="2" t="n">
        <v>51.6</v>
      </c>
      <c r="AL37" s="2"/>
      <c r="AM37" s="2"/>
      <c r="AN37" s="2" t="n">
        <v>2</v>
      </c>
      <c r="AO37" s="2" t="n">
        <v>0.7</v>
      </c>
      <c r="AP37" s="2" t="n">
        <v>0.4</v>
      </c>
      <c r="AQ37" s="2" t="n">
        <v>0.8</v>
      </c>
      <c r="AR37" s="2" t="n">
        <v>0.1</v>
      </c>
      <c r="AS37" s="2" t="n">
        <v>3</v>
      </c>
      <c r="AT37" s="2" t="n">
        <v>0.4</v>
      </c>
      <c r="AU37" s="2" t="n">
        <v>1.7</v>
      </c>
      <c r="AV37" s="2" t="n">
        <v>2.1</v>
      </c>
      <c r="AW37" s="2" t="n">
        <v>4</v>
      </c>
      <c r="AX37" s="2"/>
      <c r="AY37" s="2"/>
      <c r="AZ37" s="2"/>
      <c r="BA37" s="2"/>
      <c r="BB37" s="2"/>
      <c r="BC37" s="2"/>
      <c r="BD37" s="4" t="s">
        <v>215</v>
      </c>
    </row>
    <row r="38" customFormat="false" ht="15" hidden="false" customHeight="false" outlineLevel="0" collapsed="false">
      <c r="A38" s="2" t="n">
        <v>1639626</v>
      </c>
      <c r="B38" s="2" t="s">
        <v>216</v>
      </c>
      <c r="C38" s="2" t="s">
        <v>164</v>
      </c>
      <c r="D38" s="2" t="s">
        <v>58</v>
      </c>
      <c r="E38" s="2" t="s">
        <v>59</v>
      </c>
      <c r="F38" s="2" t="s">
        <v>102</v>
      </c>
      <c r="G38" s="2" t="s">
        <v>113</v>
      </c>
      <c r="H38" s="2" t="s">
        <v>217</v>
      </c>
      <c r="I38" s="2" t="n">
        <v>27</v>
      </c>
      <c r="J38" s="2" t="n">
        <v>25</v>
      </c>
      <c r="K38" s="2" t="s">
        <v>218</v>
      </c>
      <c r="L38" s="2" t="s">
        <v>67</v>
      </c>
      <c r="M38" s="2" t="n">
        <v>180</v>
      </c>
      <c r="N38" s="3" t="n">
        <v>75435</v>
      </c>
      <c r="O38" s="2"/>
      <c r="P38" s="2" t="n">
        <v>21</v>
      </c>
      <c r="Q38" s="3" t="n">
        <v>756</v>
      </c>
      <c r="R38" s="2" t="n">
        <v>6.43</v>
      </c>
      <c r="S38" s="2" t="n">
        <v>1</v>
      </c>
      <c r="T38" s="2" t="n">
        <v>3</v>
      </c>
      <c r="U38" s="2" t="n">
        <v>0</v>
      </c>
      <c r="V38" s="2"/>
      <c r="W38" s="2"/>
      <c r="X38" s="2" t="n">
        <v>0.36</v>
      </c>
      <c r="Y38" s="2" t="n">
        <v>2.3</v>
      </c>
      <c r="Z38" s="2" t="n">
        <v>1.1</v>
      </c>
      <c r="AA38" s="2" t="n">
        <v>15.8</v>
      </c>
      <c r="AB38" s="2" t="n">
        <v>2</v>
      </c>
      <c r="AC38" s="2" t="n">
        <v>6</v>
      </c>
      <c r="AD38" s="2" t="n">
        <v>0.7</v>
      </c>
      <c r="AE38" s="2"/>
      <c r="AF38" s="2" t="n">
        <v>19</v>
      </c>
      <c r="AG38" s="2" t="n">
        <v>75.8</v>
      </c>
      <c r="AH38" s="2" t="n">
        <v>1.2</v>
      </c>
      <c r="AI38" s="2" t="n">
        <v>62.5</v>
      </c>
      <c r="AJ38" s="2" t="n">
        <v>0.6</v>
      </c>
      <c r="AK38" s="2" t="n">
        <v>33.3</v>
      </c>
      <c r="AL38" s="2" t="n">
        <v>1</v>
      </c>
      <c r="AM38" s="2" t="n">
        <v>1.2</v>
      </c>
      <c r="AN38" s="2" t="n">
        <v>2.1</v>
      </c>
      <c r="AO38" s="2" t="n">
        <v>0.8</v>
      </c>
      <c r="AP38" s="2" t="n">
        <v>0.2</v>
      </c>
      <c r="AQ38" s="2" t="n">
        <v>1</v>
      </c>
      <c r="AR38" s="2" t="n">
        <v>0.1</v>
      </c>
      <c r="AS38" s="2" t="n">
        <v>2.5</v>
      </c>
      <c r="AT38" s="2" t="n">
        <v>0.2</v>
      </c>
      <c r="AU38" s="2" t="n">
        <v>1.5</v>
      </c>
      <c r="AV38" s="2" t="n">
        <v>1.9</v>
      </c>
      <c r="AW38" s="2"/>
      <c r="AX38" s="2"/>
      <c r="AY38" s="2"/>
      <c r="AZ38" s="2"/>
      <c r="BA38" s="2"/>
      <c r="BB38" s="2"/>
      <c r="BC38" s="2"/>
      <c r="BD38" s="4" t="s">
        <v>219</v>
      </c>
    </row>
    <row r="39" customFormat="false" ht="15" hidden="false" customHeight="false" outlineLevel="0" collapsed="false">
      <c r="A39" s="2" t="n">
        <v>1460074</v>
      </c>
      <c r="B39" s="2" t="s">
        <v>220</v>
      </c>
      <c r="C39" s="2" t="s">
        <v>164</v>
      </c>
      <c r="D39" s="2" t="s">
        <v>58</v>
      </c>
      <c r="E39" s="2" t="s">
        <v>59</v>
      </c>
      <c r="F39" s="2" t="s">
        <v>102</v>
      </c>
      <c r="G39" s="2" t="s">
        <v>221</v>
      </c>
      <c r="H39" s="2" t="s">
        <v>222</v>
      </c>
      <c r="I39" s="2" t="n">
        <v>8</v>
      </c>
      <c r="J39" s="2" t="n">
        <v>26</v>
      </c>
      <c r="K39" s="2" t="s">
        <v>223</v>
      </c>
      <c r="L39" s="2" t="s">
        <v>67</v>
      </c>
      <c r="M39" s="2" t="n">
        <v>170</v>
      </c>
      <c r="N39" s="3" t="n">
        <v>76984</v>
      </c>
      <c r="O39" s="2"/>
      <c r="P39" s="2" t="n">
        <v>9</v>
      </c>
      <c r="Q39" s="3" t="n">
        <v>260</v>
      </c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 t="n">
        <v>2</v>
      </c>
      <c r="AD39" s="2" t="n">
        <v>0.7</v>
      </c>
      <c r="AE39" s="2" t="n">
        <v>1</v>
      </c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 t="n">
        <v>1</v>
      </c>
      <c r="AX39" s="2"/>
      <c r="AY39" s="2"/>
      <c r="AZ39" s="2"/>
      <c r="BA39" s="2"/>
      <c r="BB39" s="2"/>
      <c r="BC39" s="2"/>
      <c r="BD39" s="4" t="s">
        <v>224</v>
      </c>
    </row>
    <row r="40" customFormat="false" ht="15" hidden="false" customHeight="false" outlineLevel="0" collapsed="false">
      <c r="A40" s="2" t="n">
        <v>924483</v>
      </c>
      <c r="B40" s="2" t="s">
        <v>225</v>
      </c>
      <c r="C40" s="2" t="s">
        <v>164</v>
      </c>
      <c r="D40" s="2" t="s">
        <v>58</v>
      </c>
      <c r="E40" s="2" t="s">
        <v>59</v>
      </c>
      <c r="F40" s="2" t="s">
        <v>102</v>
      </c>
      <c r="G40" s="2" t="s">
        <v>113</v>
      </c>
      <c r="H40" s="2" t="s">
        <v>113</v>
      </c>
      <c r="I40" s="2" t="n">
        <v>21</v>
      </c>
      <c r="J40" s="2" t="n">
        <v>26</v>
      </c>
      <c r="K40" s="2" t="s">
        <v>226</v>
      </c>
      <c r="L40" s="2" t="s">
        <v>67</v>
      </c>
      <c r="M40" s="2" t="n">
        <v>175</v>
      </c>
      <c r="N40" s="3" t="n">
        <v>128046</v>
      </c>
      <c r="O40" s="2"/>
      <c r="P40" s="2" t="n">
        <v>4</v>
      </c>
      <c r="Q40" s="3" t="n">
        <v>247</v>
      </c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4" t="s">
        <v>227</v>
      </c>
    </row>
    <row r="41" customFormat="false" ht="15" hidden="false" customHeight="false" outlineLevel="0" collapsed="false">
      <c r="A41" s="2" t="n">
        <v>1455583</v>
      </c>
      <c r="B41" s="2" t="s">
        <v>228</v>
      </c>
      <c r="C41" s="2" t="s">
        <v>164</v>
      </c>
      <c r="D41" s="2" t="s">
        <v>58</v>
      </c>
      <c r="E41" s="2" t="s">
        <v>59</v>
      </c>
      <c r="F41" s="2" t="s">
        <v>137</v>
      </c>
      <c r="G41" s="2" t="s">
        <v>138</v>
      </c>
      <c r="H41" s="2" t="s">
        <v>229</v>
      </c>
      <c r="I41" s="2" t="n">
        <v>56</v>
      </c>
      <c r="J41" s="2" t="n">
        <v>19</v>
      </c>
      <c r="K41" s="2" t="s">
        <v>230</v>
      </c>
      <c r="L41" s="2" t="s">
        <v>67</v>
      </c>
      <c r="M41" s="2" t="n">
        <v>175</v>
      </c>
      <c r="N41" s="3" t="n">
        <v>633495</v>
      </c>
      <c r="O41" s="2"/>
      <c r="P41" s="2" t="n">
        <v>25</v>
      </c>
      <c r="Q41" s="3" t="n">
        <v>2076</v>
      </c>
      <c r="R41" s="2" t="n">
        <v>7.09</v>
      </c>
      <c r="S41" s="2" t="n">
        <v>3</v>
      </c>
      <c r="T41" s="2" t="n">
        <v>3</v>
      </c>
      <c r="U41" s="2" t="n">
        <v>0</v>
      </c>
      <c r="V41" s="2" t="n">
        <v>7</v>
      </c>
      <c r="W41" s="2"/>
      <c r="X41" s="2" t="n">
        <v>0.13</v>
      </c>
      <c r="Y41" s="2" t="n">
        <v>1.6</v>
      </c>
      <c r="Z41" s="2" t="n">
        <v>0.9</v>
      </c>
      <c r="AA41" s="2" t="n">
        <v>8.1</v>
      </c>
      <c r="AB41" s="2" t="n">
        <v>5</v>
      </c>
      <c r="AC41" s="2" t="n">
        <v>42</v>
      </c>
      <c r="AD41" s="2" t="n">
        <v>1.8</v>
      </c>
      <c r="AE41" s="2" t="n">
        <v>9</v>
      </c>
      <c r="AF41" s="2" t="n">
        <v>20</v>
      </c>
      <c r="AG41" s="2" t="n">
        <v>72.1</v>
      </c>
      <c r="AH41" s="2" t="n">
        <v>1.5</v>
      </c>
      <c r="AI41" s="2" t="n">
        <v>49.3</v>
      </c>
      <c r="AJ41" s="2" t="n">
        <v>0.6</v>
      </c>
      <c r="AK41" s="2" t="n">
        <v>48.1</v>
      </c>
      <c r="AL41" s="2"/>
      <c r="AM41" s="2"/>
      <c r="AN41" s="2" t="n">
        <v>1.8</v>
      </c>
      <c r="AO41" s="2" t="n">
        <v>0.9</v>
      </c>
      <c r="AP41" s="2" t="n">
        <v>0.3</v>
      </c>
      <c r="AQ41" s="2" t="n">
        <v>0.6</v>
      </c>
      <c r="AR41" s="2" t="n">
        <v>0.1</v>
      </c>
      <c r="AS41" s="2" t="n">
        <v>3.3</v>
      </c>
      <c r="AT41" s="2" t="n">
        <v>0.4</v>
      </c>
      <c r="AU41" s="2" t="n">
        <v>2.2</v>
      </c>
      <c r="AV41" s="2" t="n">
        <v>0.4</v>
      </c>
      <c r="AW41" s="2"/>
      <c r="AX41" s="2"/>
      <c r="AY41" s="2"/>
      <c r="AZ41" s="2"/>
      <c r="BA41" s="2"/>
      <c r="BB41" s="2"/>
      <c r="BC41" s="2"/>
      <c r="BD41" s="4" t="s">
        <v>231</v>
      </c>
    </row>
    <row r="42" customFormat="false" ht="15" hidden="false" customHeight="false" outlineLevel="0" collapsed="false">
      <c r="A42" s="2" t="n">
        <v>1098593</v>
      </c>
      <c r="B42" s="2" t="s">
        <v>232</v>
      </c>
      <c r="C42" s="2" t="s">
        <v>164</v>
      </c>
      <c r="D42" s="2" t="s">
        <v>58</v>
      </c>
      <c r="E42" s="2" t="s">
        <v>59</v>
      </c>
      <c r="F42" s="2" t="s">
        <v>137</v>
      </c>
      <c r="G42" s="2" t="s">
        <v>147</v>
      </c>
      <c r="H42" s="2" t="s">
        <v>147</v>
      </c>
      <c r="I42" s="2" t="n">
        <v>29</v>
      </c>
      <c r="J42" s="2" t="n">
        <v>28</v>
      </c>
      <c r="K42" s="2" t="s">
        <v>233</v>
      </c>
      <c r="L42" s="2" t="s">
        <v>234</v>
      </c>
      <c r="M42" s="2" t="n">
        <v>175</v>
      </c>
      <c r="N42" s="3"/>
      <c r="O42" s="2"/>
      <c r="P42" s="2" t="n">
        <v>24</v>
      </c>
      <c r="Q42" s="3" t="n">
        <v>1267</v>
      </c>
      <c r="R42" s="2" t="n">
        <v>6.59</v>
      </c>
      <c r="S42" s="2" t="n">
        <v>0</v>
      </c>
      <c r="T42" s="2" t="n">
        <v>3</v>
      </c>
      <c r="U42" s="2" t="n">
        <v>1</v>
      </c>
      <c r="V42" s="2" t="n">
        <v>2</v>
      </c>
      <c r="W42" s="2"/>
      <c r="X42" s="2" t="n">
        <v>0.21</v>
      </c>
      <c r="Y42" s="2" t="n">
        <v>4</v>
      </c>
      <c r="Z42" s="2" t="n">
        <v>1.8</v>
      </c>
      <c r="AA42" s="2" t="n">
        <v>5.3</v>
      </c>
      <c r="AB42" s="2" t="n">
        <v>6</v>
      </c>
      <c r="AC42" s="2" t="n">
        <v>16</v>
      </c>
      <c r="AD42" s="2" t="n">
        <v>1.1</v>
      </c>
      <c r="AE42" s="2" t="n">
        <v>4</v>
      </c>
      <c r="AF42" s="2" t="n">
        <v>16.6</v>
      </c>
      <c r="AG42" s="2" t="n">
        <v>74</v>
      </c>
      <c r="AH42" s="2" t="n">
        <v>0.4</v>
      </c>
      <c r="AI42" s="2" t="n">
        <v>31.3</v>
      </c>
      <c r="AJ42" s="2" t="n">
        <v>0.9</v>
      </c>
      <c r="AK42" s="2" t="n">
        <v>52.2</v>
      </c>
      <c r="AL42" s="2"/>
      <c r="AM42" s="2"/>
      <c r="AN42" s="2" t="n">
        <v>1.2</v>
      </c>
      <c r="AO42" s="2" t="n">
        <v>0.4</v>
      </c>
      <c r="AP42" s="2" t="n">
        <v>0.3</v>
      </c>
      <c r="AQ42" s="2" t="n">
        <v>0.4</v>
      </c>
      <c r="AR42" s="2" t="n">
        <v>0.1</v>
      </c>
      <c r="AS42" s="2" t="n">
        <v>2.3</v>
      </c>
      <c r="AT42" s="2" t="n">
        <v>0.5</v>
      </c>
      <c r="AU42" s="2" t="n">
        <v>1.5</v>
      </c>
      <c r="AV42" s="2" t="n">
        <v>1.6</v>
      </c>
      <c r="AW42" s="2" t="n">
        <v>1</v>
      </c>
      <c r="AX42" s="2"/>
      <c r="AY42" s="2"/>
      <c r="AZ42" s="2"/>
      <c r="BA42" s="2"/>
      <c r="BB42" s="2"/>
      <c r="BC42" s="2"/>
      <c r="BD42" s="4" t="s">
        <v>235</v>
      </c>
    </row>
    <row r="43" customFormat="false" ht="15" hidden="false" customHeight="false" outlineLevel="0" collapsed="false">
      <c r="A43" s="2" t="n">
        <v>1346904</v>
      </c>
      <c r="B43" s="2" t="s">
        <v>236</v>
      </c>
      <c r="C43" s="2" t="s">
        <v>164</v>
      </c>
      <c r="D43" s="2" t="s">
        <v>58</v>
      </c>
      <c r="E43" s="2" t="s">
        <v>59</v>
      </c>
      <c r="F43" s="2" t="s">
        <v>137</v>
      </c>
      <c r="G43" s="2" t="s">
        <v>133</v>
      </c>
      <c r="H43" s="2" t="s">
        <v>237</v>
      </c>
      <c r="I43" s="2" t="n">
        <v>19</v>
      </c>
      <c r="J43" s="2" t="n">
        <v>25</v>
      </c>
      <c r="K43" s="2" t="s">
        <v>238</v>
      </c>
      <c r="L43" s="2" t="s">
        <v>67</v>
      </c>
      <c r="M43" s="2" t="n">
        <v>185</v>
      </c>
      <c r="N43" s="3" t="n">
        <v>83192</v>
      </c>
      <c r="O43" s="2"/>
      <c r="P43" s="2" t="n">
        <v>23</v>
      </c>
      <c r="Q43" s="3" t="n">
        <v>1163</v>
      </c>
      <c r="R43" s="2" t="n">
        <v>6.5</v>
      </c>
      <c r="S43" s="2" t="n">
        <v>0</v>
      </c>
      <c r="T43" s="2" t="n">
        <v>4</v>
      </c>
      <c r="U43" s="2" t="n">
        <v>0</v>
      </c>
      <c r="V43" s="2"/>
      <c r="W43" s="2"/>
      <c r="X43" s="2" t="n">
        <v>0.31</v>
      </c>
      <c r="Y43" s="2" t="n">
        <v>1.3</v>
      </c>
      <c r="Z43" s="2" t="n">
        <v>0.8</v>
      </c>
      <c r="AA43" s="2" t="n">
        <v>23.5</v>
      </c>
      <c r="AB43" s="2" t="n">
        <v>4</v>
      </c>
      <c r="AC43" s="2" t="n">
        <v>23</v>
      </c>
      <c r="AD43" s="2" t="n">
        <v>1.8</v>
      </c>
      <c r="AE43" s="2" t="n">
        <v>3</v>
      </c>
      <c r="AF43" s="2" t="n">
        <v>18.3</v>
      </c>
      <c r="AG43" s="2" t="n">
        <v>67.7</v>
      </c>
      <c r="AH43" s="2" t="n">
        <v>0.5</v>
      </c>
      <c r="AI43" s="2" t="n">
        <v>25.9</v>
      </c>
      <c r="AJ43" s="2" t="n">
        <v>0.2</v>
      </c>
      <c r="AK43" s="2" t="n">
        <v>28.6</v>
      </c>
      <c r="AL43" s="2"/>
      <c r="AM43" s="2"/>
      <c r="AN43" s="2" t="n">
        <v>2.7</v>
      </c>
      <c r="AO43" s="2" t="n">
        <v>1.4</v>
      </c>
      <c r="AP43" s="2" t="n">
        <v>0.6</v>
      </c>
      <c r="AQ43" s="2" t="n">
        <v>0.6</v>
      </c>
      <c r="AR43" s="2" t="n">
        <v>0.1</v>
      </c>
      <c r="AS43" s="2" t="n">
        <v>2.9</v>
      </c>
      <c r="AT43" s="2" t="n">
        <v>0.4</v>
      </c>
      <c r="AU43" s="2" t="n">
        <v>1.5</v>
      </c>
      <c r="AV43" s="2" t="n">
        <v>1.2</v>
      </c>
      <c r="AW43" s="2" t="n">
        <v>2</v>
      </c>
      <c r="AX43" s="2" t="n">
        <v>1</v>
      </c>
      <c r="AY43" s="2"/>
      <c r="AZ43" s="2"/>
      <c r="BA43" s="2"/>
      <c r="BB43" s="2"/>
      <c r="BC43" s="2"/>
      <c r="BD43" s="4" t="s">
        <v>239</v>
      </c>
    </row>
    <row r="44" customFormat="false" ht="15" hidden="false" customHeight="false" outlineLevel="0" collapsed="false">
      <c r="A44" s="2" t="n">
        <v>1469822</v>
      </c>
      <c r="B44" s="2" t="s">
        <v>240</v>
      </c>
      <c r="C44" s="2" t="s">
        <v>164</v>
      </c>
      <c r="D44" s="2" t="s">
        <v>58</v>
      </c>
      <c r="E44" s="2" t="s">
        <v>59</v>
      </c>
      <c r="F44" s="2" t="s">
        <v>137</v>
      </c>
      <c r="G44" s="2" t="s">
        <v>133</v>
      </c>
      <c r="H44" s="2" t="s">
        <v>241</v>
      </c>
      <c r="I44" s="2" t="n">
        <v>95</v>
      </c>
      <c r="J44" s="2" t="n">
        <v>26</v>
      </c>
      <c r="K44" s="2" t="s">
        <v>242</v>
      </c>
      <c r="L44" s="2" t="s">
        <v>243</v>
      </c>
      <c r="M44" s="2" t="n">
        <v>183</v>
      </c>
      <c r="N44" s="3" t="n">
        <v>274808</v>
      </c>
      <c r="O44" s="2"/>
      <c r="P44" s="2" t="n">
        <v>18</v>
      </c>
      <c r="Q44" s="3" t="n">
        <v>653</v>
      </c>
      <c r="R44" s="2" t="n">
        <v>6.38</v>
      </c>
      <c r="S44" s="2" t="n">
        <v>0</v>
      </c>
      <c r="T44" s="2" t="n">
        <v>2</v>
      </c>
      <c r="U44" s="2" t="n">
        <v>0</v>
      </c>
      <c r="V44" s="2"/>
      <c r="W44" s="2"/>
      <c r="X44" s="2" t="n">
        <v>0.28</v>
      </c>
      <c r="Y44" s="2" t="n">
        <v>2.3</v>
      </c>
      <c r="Z44" s="2" t="n">
        <v>0.7</v>
      </c>
      <c r="AA44" s="2" t="n">
        <v>11.8</v>
      </c>
      <c r="AB44" s="2"/>
      <c r="AC44" s="2" t="n">
        <v>10</v>
      </c>
      <c r="AD44" s="2" t="n">
        <v>1.4</v>
      </c>
      <c r="AE44" s="2"/>
      <c r="AF44" s="2" t="n">
        <v>17</v>
      </c>
      <c r="AG44" s="2" t="n">
        <v>69.5</v>
      </c>
      <c r="AH44" s="2" t="n">
        <v>1</v>
      </c>
      <c r="AI44" s="2" t="n">
        <v>41.2</v>
      </c>
      <c r="AJ44" s="2" t="n">
        <v>1.5</v>
      </c>
      <c r="AK44" s="2" t="n">
        <v>40.7</v>
      </c>
      <c r="AL44" s="2" t="n">
        <v>1</v>
      </c>
      <c r="AM44" s="2" t="n">
        <v>1.7</v>
      </c>
      <c r="AN44" s="2" t="n">
        <v>2.6</v>
      </c>
      <c r="AO44" s="2" t="n">
        <v>1.2</v>
      </c>
      <c r="AP44" s="2" t="n">
        <v>0.7</v>
      </c>
      <c r="AQ44" s="2" t="n">
        <v>0.7</v>
      </c>
      <c r="AR44" s="2"/>
      <c r="AS44" s="2" t="n">
        <v>3.4</v>
      </c>
      <c r="AT44" s="2" t="n">
        <v>0.6</v>
      </c>
      <c r="AU44" s="2" t="n">
        <v>2.6</v>
      </c>
      <c r="AV44" s="2" t="n">
        <v>3.6</v>
      </c>
      <c r="AW44" s="2" t="n">
        <v>1</v>
      </c>
      <c r="AX44" s="2"/>
      <c r="AY44" s="2"/>
      <c r="AZ44" s="2"/>
      <c r="BA44" s="2"/>
      <c r="BB44" s="2"/>
      <c r="BC44" s="2"/>
      <c r="BD44" s="4" t="s">
        <v>244</v>
      </c>
    </row>
    <row r="45" customFormat="false" ht="15" hidden="false" customHeight="false" outlineLevel="0" collapsed="false">
      <c r="A45" s="2" t="n">
        <v>754584</v>
      </c>
      <c r="B45" s="2" t="s">
        <v>245</v>
      </c>
      <c r="C45" s="2" t="s">
        <v>164</v>
      </c>
      <c r="D45" s="2" t="s">
        <v>58</v>
      </c>
      <c r="E45" s="2" t="s">
        <v>59</v>
      </c>
      <c r="F45" s="2" t="s">
        <v>137</v>
      </c>
      <c r="G45" s="2" t="s">
        <v>133</v>
      </c>
      <c r="H45" s="2" t="s">
        <v>133</v>
      </c>
      <c r="I45" s="2" t="n">
        <v>98</v>
      </c>
      <c r="J45" s="2" t="n">
        <v>28</v>
      </c>
      <c r="K45" s="2" t="s">
        <v>246</v>
      </c>
      <c r="L45" s="2" t="s">
        <v>67</v>
      </c>
      <c r="M45" s="2" t="n">
        <v>183</v>
      </c>
      <c r="N45" s="3" t="n">
        <v>109708</v>
      </c>
      <c r="O45" s="2"/>
      <c r="P45" s="2" t="n">
        <v>11</v>
      </c>
      <c r="Q45" s="3" t="n">
        <v>359</v>
      </c>
      <c r="R45" s="2"/>
      <c r="S45" s="2"/>
      <c r="T45" s="2"/>
      <c r="U45" s="2"/>
      <c r="V45" s="2"/>
      <c r="W45" s="2"/>
      <c r="X45" s="2"/>
      <c r="Y45" s="2"/>
      <c r="Z45" s="2"/>
      <c r="AA45" s="2"/>
      <c r="AB45" s="2" t="n">
        <v>1</v>
      </c>
      <c r="AC45" s="2" t="n">
        <v>6</v>
      </c>
      <c r="AD45" s="2" t="n">
        <v>1.5</v>
      </c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 t="n">
        <v>1</v>
      </c>
      <c r="AX45" s="2"/>
      <c r="AY45" s="2"/>
      <c r="AZ45" s="2"/>
      <c r="BA45" s="2"/>
      <c r="BB45" s="2"/>
      <c r="BC45" s="2"/>
      <c r="BD45" s="4" t="s">
        <v>247</v>
      </c>
    </row>
    <row r="46" customFormat="false" ht="15" hidden="false" customHeight="false" outlineLevel="0" collapsed="false">
      <c r="A46" s="2" t="n">
        <v>1076859</v>
      </c>
      <c r="B46" s="2" t="s">
        <v>248</v>
      </c>
      <c r="C46" s="2" t="s">
        <v>249</v>
      </c>
      <c r="D46" s="2" t="s">
        <v>58</v>
      </c>
      <c r="E46" s="2" t="s">
        <v>59</v>
      </c>
      <c r="F46" s="2" t="s">
        <v>60</v>
      </c>
      <c r="G46" s="2" t="s">
        <v>61</v>
      </c>
      <c r="H46" s="2" t="s">
        <v>61</v>
      </c>
      <c r="I46" s="2" t="n">
        <v>56</v>
      </c>
      <c r="J46" s="2" t="n">
        <v>28</v>
      </c>
      <c r="K46" s="2" t="s">
        <v>250</v>
      </c>
      <c r="L46" s="2" t="s">
        <v>67</v>
      </c>
      <c r="M46" s="2" t="n">
        <v>193</v>
      </c>
      <c r="N46" s="3" t="n">
        <v>50000</v>
      </c>
      <c r="O46" s="2"/>
      <c r="P46" s="2" t="n">
        <v>21</v>
      </c>
      <c r="Q46" s="3" t="n">
        <v>1890</v>
      </c>
      <c r="R46" s="2" t="n">
        <v>6.69</v>
      </c>
      <c r="S46" s="2" t="n">
        <v>1</v>
      </c>
      <c r="T46" s="2"/>
      <c r="U46" s="2"/>
      <c r="V46" s="2"/>
      <c r="W46" s="2"/>
      <c r="X46" s="2"/>
      <c r="Y46" s="2"/>
      <c r="Z46" s="2"/>
      <c r="AA46" s="2"/>
      <c r="AB46" s="2"/>
      <c r="AC46" s="2" t="n">
        <v>1</v>
      </c>
      <c r="AD46" s="2" t="n">
        <v>0</v>
      </c>
      <c r="AE46" s="2"/>
      <c r="AF46" s="2" t="n">
        <v>23.4</v>
      </c>
      <c r="AG46" s="2" t="n">
        <v>82.1</v>
      </c>
      <c r="AH46" s="2"/>
      <c r="AI46" s="2"/>
      <c r="AJ46" s="2" t="n">
        <v>0</v>
      </c>
      <c r="AK46" s="2" t="n">
        <v>100</v>
      </c>
      <c r="AL46" s="2"/>
      <c r="AM46" s="2"/>
      <c r="AN46" s="2" t="n">
        <v>0.9</v>
      </c>
      <c r="AO46" s="2"/>
      <c r="AP46" s="2"/>
      <c r="AQ46" s="2" t="n">
        <v>0.9</v>
      </c>
      <c r="AR46" s="2"/>
      <c r="AS46" s="2" t="n">
        <v>7.4</v>
      </c>
      <c r="AT46" s="2"/>
      <c r="AU46" s="2"/>
      <c r="AV46" s="2" t="n">
        <v>0</v>
      </c>
      <c r="AW46" s="2" t="n">
        <v>2</v>
      </c>
      <c r="AX46" s="2"/>
      <c r="AY46" s="2" t="n">
        <v>1</v>
      </c>
      <c r="AZ46" s="2" t="n">
        <v>6</v>
      </c>
      <c r="BA46" s="2" t="n">
        <v>2.6</v>
      </c>
      <c r="BB46" s="2" t="n">
        <v>67.1</v>
      </c>
      <c r="BC46" s="2" t="n">
        <v>1.3</v>
      </c>
      <c r="BD46" s="4" t="s">
        <v>251</v>
      </c>
    </row>
    <row r="47" customFormat="false" ht="15" hidden="false" customHeight="false" outlineLevel="0" collapsed="false">
      <c r="A47" s="2" t="n">
        <v>525646</v>
      </c>
      <c r="B47" s="2" t="s">
        <v>252</v>
      </c>
      <c r="C47" s="2" t="s">
        <v>249</v>
      </c>
      <c r="D47" s="2" t="s">
        <v>58</v>
      </c>
      <c r="E47" s="2" t="s">
        <v>59</v>
      </c>
      <c r="F47" s="2" t="s">
        <v>60</v>
      </c>
      <c r="G47" s="2" t="s">
        <v>61</v>
      </c>
      <c r="H47" s="2" t="s">
        <v>61</v>
      </c>
      <c r="I47" s="2" t="n">
        <v>1</v>
      </c>
      <c r="J47" s="2" t="n">
        <v>35</v>
      </c>
      <c r="K47" s="2" t="s">
        <v>253</v>
      </c>
      <c r="L47" s="2" t="s">
        <v>67</v>
      </c>
      <c r="M47" s="2" t="n">
        <v>191</v>
      </c>
      <c r="N47" s="3" t="n">
        <v>50000</v>
      </c>
      <c r="O47" s="2"/>
      <c r="P47" s="2" t="n">
        <v>4</v>
      </c>
      <c r="Q47" s="3" t="n">
        <v>360</v>
      </c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 t="n">
        <v>2</v>
      </c>
      <c r="BA47" s="2"/>
      <c r="BB47" s="2"/>
      <c r="BC47" s="2"/>
      <c r="BD47" s="4" t="s">
        <v>254</v>
      </c>
    </row>
    <row r="48" customFormat="false" ht="15" hidden="false" customHeight="false" outlineLevel="0" collapsed="false">
      <c r="A48" s="2" t="n">
        <v>1368138</v>
      </c>
      <c r="B48" s="2" t="s">
        <v>255</v>
      </c>
      <c r="C48" s="2" t="s">
        <v>249</v>
      </c>
      <c r="D48" s="2" t="s">
        <v>58</v>
      </c>
      <c r="E48" s="2" t="s">
        <v>59</v>
      </c>
      <c r="F48" s="2" t="s">
        <v>60</v>
      </c>
      <c r="G48" s="2" t="s">
        <v>61</v>
      </c>
      <c r="H48" s="2" t="s">
        <v>61</v>
      </c>
      <c r="I48" s="2" t="n">
        <v>24</v>
      </c>
      <c r="J48" s="2" t="n">
        <v>28</v>
      </c>
      <c r="K48" s="2" t="s">
        <v>256</v>
      </c>
      <c r="L48" s="2" t="s">
        <v>67</v>
      </c>
      <c r="M48" s="2" t="n">
        <v>188</v>
      </c>
      <c r="N48" s="3" t="n">
        <v>50000</v>
      </c>
      <c r="O48" s="2"/>
      <c r="P48" s="2" t="n">
        <v>1</v>
      </c>
      <c r="Q48" s="3" t="n">
        <v>90</v>
      </c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 t="n">
        <v>1</v>
      </c>
      <c r="BA48" s="2"/>
      <c r="BB48" s="2"/>
      <c r="BC48" s="2"/>
      <c r="BD48" s="4" t="s">
        <v>257</v>
      </c>
    </row>
    <row r="49" customFormat="false" ht="15" hidden="false" customHeight="false" outlineLevel="0" collapsed="false">
      <c r="A49" s="2" t="n">
        <v>2221954</v>
      </c>
      <c r="B49" s="2" t="s">
        <v>258</v>
      </c>
      <c r="C49" s="2" t="s">
        <v>249</v>
      </c>
      <c r="D49" s="2" t="s">
        <v>58</v>
      </c>
      <c r="E49" s="2" t="s">
        <v>59</v>
      </c>
      <c r="F49" s="2" t="s">
        <v>60</v>
      </c>
      <c r="G49" s="2"/>
      <c r="H49" s="2"/>
      <c r="I49" s="2" t="n">
        <v>98</v>
      </c>
      <c r="J49" s="2" t="n">
        <v>18</v>
      </c>
      <c r="K49" s="2" t="s">
        <v>259</v>
      </c>
      <c r="L49" s="2" t="s">
        <v>67</v>
      </c>
      <c r="M49" s="2" t="n">
        <v>196</v>
      </c>
      <c r="N49" s="3"/>
      <c r="O49" s="2"/>
      <c r="P49" s="2"/>
      <c r="Q49" s="3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4" t="s">
        <v>260</v>
      </c>
    </row>
    <row r="50" customFormat="false" ht="15" hidden="false" customHeight="false" outlineLevel="0" collapsed="false">
      <c r="A50" s="2" t="n">
        <v>1440047</v>
      </c>
      <c r="B50" s="2" t="s">
        <v>261</v>
      </c>
      <c r="C50" s="2" t="s">
        <v>249</v>
      </c>
      <c r="D50" s="2" t="s">
        <v>58</v>
      </c>
      <c r="E50" s="2" t="s">
        <v>59</v>
      </c>
      <c r="F50" s="2" t="s">
        <v>70</v>
      </c>
      <c r="G50" s="2" t="s">
        <v>75</v>
      </c>
      <c r="H50" s="2" t="s">
        <v>75</v>
      </c>
      <c r="I50" s="2" t="n">
        <v>22</v>
      </c>
      <c r="J50" s="2" t="n">
        <v>24</v>
      </c>
      <c r="K50" s="2" t="s">
        <v>262</v>
      </c>
      <c r="L50" s="2" t="s">
        <v>67</v>
      </c>
      <c r="M50" s="2" t="n">
        <v>191</v>
      </c>
      <c r="N50" s="3" t="n">
        <v>99503</v>
      </c>
      <c r="O50" s="2"/>
      <c r="P50" s="2" t="n">
        <v>26</v>
      </c>
      <c r="Q50" s="3" t="n">
        <v>2234</v>
      </c>
      <c r="R50" s="2" t="n">
        <v>7.07</v>
      </c>
      <c r="S50" s="2" t="n">
        <v>0</v>
      </c>
      <c r="T50" s="2"/>
      <c r="U50" s="2"/>
      <c r="V50" s="2" t="n">
        <v>2</v>
      </c>
      <c r="W50" s="2"/>
      <c r="X50" s="2"/>
      <c r="Y50" s="2" t="n">
        <v>0.5</v>
      </c>
      <c r="Z50" s="2" t="n">
        <v>0.2</v>
      </c>
      <c r="AA50" s="2" t="n">
        <v>0</v>
      </c>
      <c r="AB50" s="2" t="n">
        <v>2</v>
      </c>
      <c r="AC50" s="2" t="n">
        <v>10</v>
      </c>
      <c r="AD50" s="2" t="n">
        <v>0.4</v>
      </c>
      <c r="AE50" s="2" t="n">
        <v>3</v>
      </c>
      <c r="AF50" s="2" t="n">
        <v>65.1</v>
      </c>
      <c r="AG50" s="2" t="n">
        <v>88.7</v>
      </c>
      <c r="AH50" s="2" t="n">
        <v>8.1</v>
      </c>
      <c r="AI50" s="2" t="n">
        <v>60</v>
      </c>
      <c r="AJ50" s="2" t="n">
        <v>0.2</v>
      </c>
      <c r="AK50" s="2" t="n">
        <v>80</v>
      </c>
      <c r="AL50" s="2"/>
      <c r="AM50" s="2"/>
      <c r="AN50" s="2" t="n">
        <v>7.7</v>
      </c>
      <c r="AO50" s="2" t="n">
        <v>0.8</v>
      </c>
      <c r="AP50" s="2" t="n">
        <v>0.6</v>
      </c>
      <c r="AQ50" s="2" t="n">
        <v>5.4</v>
      </c>
      <c r="AR50" s="2" t="n">
        <v>0.9</v>
      </c>
      <c r="AS50" s="2" t="n">
        <v>3.9</v>
      </c>
      <c r="AT50" s="2"/>
      <c r="AU50" s="2"/>
      <c r="AV50" s="2" t="n">
        <v>0.4</v>
      </c>
      <c r="AW50" s="2" t="n">
        <v>2</v>
      </c>
      <c r="AX50" s="2"/>
      <c r="AY50" s="2"/>
      <c r="AZ50" s="2"/>
      <c r="BA50" s="2"/>
      <c r="BB50" s="2"/>
      <c r="BC50" s="2"/>
      <c r="BD50" s="4" t="s">
        <v>263</v>
      </c>
    </row>
    <row r="51" customFormat="false" ht="15" hidden="false" customHeight="false" outlineLevel="0" collapsed="false">
      <c r="A51" s="2" t="n">
        <v>924435</v>
      </c>
      <c r="B51" s="2" t="s">
        <v>264</v>
      </c>
      <c r="C51" s="2" t="s">
        <v>249</v>
      </c>
      <c r="D51" s="2" t="s">
        <v>58</v>
      </c>
      <c r="E51" s="2" t="s">
        <v>59</v>
      </c>
      <c r="F51" s="2" t="s">
        <v>70</v>
      </c>
      <c r="G51" s="2" t="s">
        <v>75</v>
      </c>
      <c r="H51" s="2" t="s">
        <v>75</v>
      </c>
      <c r="I51" s="2" t="n">
        <v>16</v>
      </c>
      <c r="J51" s="2" t="n">
        <v>30</v>
      </c>
      <c r="K51" s="2" t="s">
        <v>265</v>
      </c>
      <c r="L51" s="2" t="s">
        <v>67</v>
      </c>
      <c r="M51" s="2" t="n">
        <v>188</v>
      </c>
      <c r="N51" s="3" t="n">
        <v>82944</v>
      </c>
      <c r="O51" s="2"/>
      <c r="P51" s="2" t="n">
        <v>25</v>
      </c>
      <c r="Q51" s="3" t="n">
        <v>2183</v>
      </c>
      <c r="R51" s="2" t="n">
        <v>6.83</v>
      </c>
      <c r="S51" s="2" t="n">
        <v>0</v>
      </c>
      <c r="T51" s="2" t="n">
        <v>1</v>
      </c>
      <c r="U51" s="2" t="n">
        <v>0</v>
      </c>
      <c r="V51" s="2"/>
      <c r="W51" s="2"/>
      <c r="X51" s="2" t="n">
        <v>0.04</v>
      </c>
      <c r="Y51" s="2" t="n">
        <v>0.4</v>
      </c>
      <c r="Z51" s="2" t="n">
        <v>0.2</v>
      </c>
      <c r="AA51" s="2" t="n">
        <v>11.1</v>
      </c>
      <c r="AB51" s="2" t="n">
        <v>1</v>
      </c>
      <c r="AC51" s="2" t="n">
        <v>5</v>
      </c>
      <c r="AD51" s="2" t="n">
        <v>0.2</v>
      </c>
      <c r="AE51" s="2" t="n">
        <v>1</v>
      </c>
      <c r="AF51" s="2" t="n">
        <v>57.2</v>
      </c>
      <c r="AG51" s="2" t="n">
        <v>89.1</v>
      </c>
      <c r="AH51" s="2" t="n">
        <v>4.3</v>
      </c>
      <c r="AI51" s="2" t="n">
        <v>51.2</v>
      </c>
      <c r="AJ51" s="2"/>
      <c r="AK51" s="2"/>
      <c r="AL51" s="2" t="n">
        <v>1</v>
      </c>
      <c r="AM51" s="2" t="n">
        <v>0.9</v>
      </c>
      <c r="AN51" s="2" t="n">
        <v>7.7</v>
      </c>
      <c r="AO51" s="2" t="n">
        <v>0.9</v>
      </c>
      <c r="AP51" s="2" t="n">
        <v>0.9</v>
      </c>
      <c r="AQ51" s="2" t="n">
        <v>5.2</v>
      </c>
      <c r="AR51" s="2" t="n">
        <v>0.7</v>
      </c>
      <c r="AS51" s="2" t="n">
        <v>2.3</v>
      </c>
      <c r="AT51" s="2" t="n">
        <v>0</v>
      </c>
      <c r="AU51" s="2" t="n">
        <v>0.9</v>
      </c>
      <c r="AV51" s="2" t="n">
        <v>1.1</v>
      </c>
      <c r="AW51" s="2" t="n">
        <v>5</v>
      </c>
      <c r="AX51" s="2" t="n">
        <v>1</v>
      </c>
      <c r="AY51" s="2"/>
      <c r="AZ51" s="2"/>
      <c r="BA51" s="2"/>
      <c r="BB51" s="2"/>
      <c r="BC51" s="2"/>
      <c r="BD51" s="4" t="s">
        <v>266</v>
      </c>
    </row>
    <row r="52" customFormat="false" ht="15" hidden="false" customHeight="false" outlineLevel="0" collapsed="false">
      <c r="A52" s="2" t="n">
        <v>1623839</v>
      </c>
      <c r="B52" s="2" t="s">
        <v>267</v>
      </c>
      <c r="C52" s="2" t="s">
        <v>249</v>
      </c>
      <c r="D52" s="2" t="s">
        <v>58</v>
      </c>
      <c r="E52" s="2" t="s">
        <v>59</v>
      </c>
      <c r="F52" s="2" t="s">
        <v>70</v>
      </c>
      <c r="G52" s="2" t="s">
        <v>71</v>
      </c>
      <c r="H52" s="2" t="s">
        <v>268</v>
      </c>
      <c r="I52" s="2" t="n">
        <v>3</v>
      </c>
      <c r="J52" s="2" t="n">
        <v>25</v>
      </c>
      <c r="K52" s="2" t="s">
        <v>269</v>
      </c>
      <c r="L52" s="2" t="s">
        <v>243</v>
      </c>
      <c r="M52" s="2" t="n">
        <v>183</v>
      </c>
      <c r="N52" s="3" t="n">
        <v>112442</v>
      </c>
      <c r="O52" s="2"/>
      <c r="P52" s="2" t="n">
        <v>25</v>
      </c>
      <c r="Q52" s="3" t="n">
        <v>1878</v>
      </c>
      <c r="R52" s="2" t="n">
        <v>6.99</v>
      </c>
      <c r="S52" s="2" t="n">
        <v>1</v>
      </c>
      <c r="T52" s="2"/>
      <c r="U52" s="2"/>
      <c r="V52" s="2" t="n">
        <v>7</v>
      </c>
      <c r="W52" s="2"/>
      <c r="X52" s="2"/>
      <c r="Y52" s="2" t="n">
        <v>0.4</v>
      </c>
      <c r="Z52" s="2" t="n">
        <v>0.1</v>
      </c>
      <c r="AA52" s="2" t="n">
        <v>0</v>
      </c>
      <c r="AB52" s="2"/>
      <c r="AC52" s="2" t="n">
        <v>44</v>
      </c>
      <c r="AD52" s="2" t="n">
        <v>2.1</v>
      </c>
      <c r="AE52" s="2" t="n">
        <v>11</v>
      </c>
      <c r="AF52" s="2" t="n">
        <v>33</v>
      </c>
      <c r="AG52" s="2" t="n">
        <v>83.4</v>
      </c>
      <c r="AH52" s="2" t="n">
        <v>2.1</v>
      </c>
      <c r="AI52" s="2" t="n">
        <v>44.8</v>
      </c>
      <c r="AJ52" s="2" t="n">
        <v>0.7</v>
      </c>
      <c r="AK52" s="2" t="n">
        <v>46.9</v>
      </c>
      <c r="AL52" s="2"/>
      <c r="AM52" s="2"/>
      <c r="AN52" s="2" t="n">
        <v>4.3</v>
      </c>
      <c r="AO52" s="2" t="n">
        <v>1.3</v>
      </c>
      <c r="AP52" s="2" t="n">
        <v>0.8</v>
      </c>
      <c r="AQ52" s="2" t="n">
        <v>2.1</v>
      </c>
      <c r="AR52" s="2" t="n">
        <v>0.1</v>
      </c>
      <c r="AS52" s="2" t="n">
        <v>3.4</v>
      </c>
      <c r="AT52" s="2" t="n">
        <v>0.3</v>
      </c>
      <c r="AU52" s="2" t="n">
        <v>1.3</v>
      </c>
      <c r="AV52" s="2" t="n">
        <v>0.9</v>
      </c>
      <c r="AW52" s="2" t="n">
        <v>2</v>
      </c>
      <c r="AX52" s="2" t="n">
        <v>1</v>
      </c>
      <c r="AY52" s="2"/>
      <c r="AZ52" s="2"/>
      <c r="BA52" s="2"/>
      <c r="BB52" s="2"/>
      <c r="BC52" s="2"/>
      <c r="BD52" s="4" t="s">
        <v>270</v>
      </c>
    </row>
    <row r="53" customFormat="false" ht="15" hidden="false" customHeight="false" outlineLevel="0" collapsed="false">
      <c r="A53" s="2" t="n">
        <v>1615774</v>
      </c>
      <c r="B53" s="2" t="s">
        <v>271</v>
      </c>
      <c r="C53" s="2" t="s">
        <v>249</v>
      </c>
      <c r="D53" s="2" t="s">
        <v>58</v>
      </c>
      <c r="E53" s="2" t="s">
        <v>59</v>
      </c>
      <c r="F53" s="2" t="s">
        <v>70</v>
      </c>
      <c r="G53" s="2" t="s">
        <v>75</v>
      </c>
      <c r="H53" s="2" t="s">
        <v>272</v>
      </c>
      <c r="I53" s="2" t="n">
        <v>5</v>
      </c>
      <c r="J53" s="2" t="n">
        <v>25</v>
      </c>
      <c r="K53" s="2" t="s">
        <v>273</v>
      </c>
      <c r="L53" s="2" t="s">
        <v>67</v>
      </c>
      <c r="M53" s="2" t="n">
        <v>185</v>
      </c>
      <c r="N53" s="3" t="n">
        <v>156477</v>
      </c>
      <c r="O53" s="2"/>
      <c r="P53" s="2" t="n">
        <v>24</v>
      </c>
      <c r="Q53" s="3" t="n">
        <v>1572</v>
      </c>
      <c r="R53" s="2" t="n">
        <v>6.67</v>
      </c>
      <c r="S53" s="2" t="n">
        <v>1</v>
      </c>
      <c r="T53" s="2" t="n">
        <v>1</v>
      </c>
      <c r="U53" s="2" t="n">
        <v>0</v>
      </c>
      <c r="V53" s="2"/>
      <c r="W53" s="2"/>
      <c r="X53" s="2" t="n">
        <v>0.06</v>
      </c>
      <c r="Y53" s="2" t="n">
        <v>0.3</v>
      </c>
      <c r="Z53" s="2" t="n">
        <v>0.2</v>
      </c>
      <c r="AA53" s="2" t="n">
        <v>16.7</v>
      </c>
      <c r="AB53" s="2"/>
      <c r="AC53" s="2" t="n">
        <v>11</v>
      </c>
      <c r="AD53" s="2" t="n">
        <v>0.6</v>
      </c>
      <c r="AE53" s="2" t="n">
        <v>1</v>
      </c>
      <c r="AF53" s="2" t="n">
        <v>46.3</v>
      </c>
      <c r="AG53" s="2" t="n">
        <v>83.9</v>
      </c>
      <c r="AH53" s="2" t="n">
        <v>4.4</v>
      </c>
      <c r="AI53" s="2" t="n">
        <v>52</v>
      </c>
      <c r="AJ53" s="2" t="n">
        <v>0.2</v>
      </c>
      <c r="AK53" s="2" t="n">
        <v>50</v>
      </c>
      <c r="AL53" s="2"/>
      <c r="AM53" s="2"/>
      <c r="AN53" s="2" t="n">
        <v>4.8</v>
      </c>
      <c r="AO53" s="2" t="n">
        <v>1</v>
      </c>
      <c r="AP53" s="2" t="n">
        <v>0.9</v>
      </c>
      <c r="AQ53" s="2" t="n">
        <v>2.6</v>
      </c>
      <c r="AR53" s="2" t="n">
        <v>0.3</v>
      </c>
      <c r="AS53" s="2" t="n">
        <v>3.8</v>
      </c>
      <c r="AT53" s="2" t="n">
        <v>0.1</v>
      </c>
      <c r="AU53" s="2" t="n">
        <v>2.2</v>
      </c>
      <c r="AV53" s="2" t="n">
        <v>0.5</v>
      </c>
      <c r="AW53" s="2"/>
      <c r="AX53" s="2"/>
      <c r="AY53" s="2"/>
      <c r="AZ53" s="2"/>
      <c r="BA53" s="2"/>
      <c r="BB53" s="2"/>
      <c r="BC53" s="2"/>
      <c r="BD53" s="4" t="s">
        <v>274</v>
      </c>
    </row>
    <row r="54" customFormat="false" ht="15" hidden="false" customHeight="false" outlineLevel="0" collapsed="false">
      <c r="A54" s="2" t="n">
        <v>844926</v>
      </c>
      <c r="B54" s="2" t="s">
        <v>275</v>
      </c>
      <c r="C54" s="2" t="s">
        <v>249</v>
      </c>
      <c r="D54" s="2" t="s">
        <v>58</v>
      </c>
      <c r="E54" s="2" t="s">
        <v>59</v>
      </c>
      <c r="F54" s="2" t="s">
        <v>70</v>
      </c>
      <c r="G54" s="2" t="s">
        <v>92</v>
      </c>
      <c r="H54" s="2" t="s">
        <v>276</v>
      </c>
      <c r="I54" s="2" t="n">
        <v>42</v>
      </c>
      <c r="J54" s="2" t="n">
        <v>29</v>
      </c>
      <c r="K54" s="2" t="s">
        <v>277</v>
      </c>
      <c r="L54" s="2" t="s">
        <v>234</v>
      </c>
      <c r="M54" s="2" t="n">
        <v>183</v>
      </c>
      <c r="N54" s="3" t="n">
        <v>50000</v>
      </c>
      <c r="O54" s="2"/>
      <c r="P54" s="2" t="n">
        <v>23</v>
      </c>
      <c r="Q54" s="3" t="n">
        <v>1278</v>
      </c>
      <c r="R54" s="2" t="n">
        <v>6.8</v>
      </c>
      <c r="S54" s="2" t="n">
        <v>0</v>
      </c>
      <c r="T54" s="2" t="n">
        <v>2</v>
      </c>
      <c r="U54" s="2" t="n">
        <v>0</v>
      </c>
      <c r="V54" s="2" t="n">
        <v>2</v>
      </c>
      <c r="W54" s="2"/>
      <c r="X54" s="2" t="n">
        <v>0.14</v>
      </c>
      <c r="Y54" s="2" t="n">
        <v>0.4</v>
      </c>
      <c r="Z54" s="2" t="n">
        <v>0.3</v>
      </c>
      <c r="AA54" s="2" t="n">
        <v>40</v>
      </c>
      <c r="AB54" s="2" t="n">
        <v>1</v>
      </c>
      <c r="AC54" s="2" t="n">
        <v>15</v>
      </c>
      <c r="AD54" s="2" t="n">
        <v>1.1</v>
      </c>
      <c r="AE54" s="2" t="n">
        <v>3</v>
      </c>
      <c r="AF54" s="2" t="n">
        <v>32.7</v>
      </c>
      <c r="AG54" s="2" t="n">
        <v>77.4</v>
      </c>
      <c r="AH54" s="2" t="n">
        <v>2.9</v>
      </c>
      <c r="AI54" s="2" t="n">
        <v>47.1</v>
      </c>
      <c r="AJ54" s="2" t="n">
        <v>0.6</v>
      </c>
      <c r="AK54" s="2" t="n">
        <v>50</v>
      </c>
      <c r="AL54" s="2"/>
      <c r="AM54" s="2"/>
      <c r="AN54" s="2" t="n">
        <v>6.3</v>
      </c>
      <c r="AO54" s="2" t="n">
        <v>1.7</v>
      </c>
      <c r="AP54" s="2" t="n">
        <v>1.7</v>
      </c>
      <c r="AQ54" s="2" t="n">
        <v>2.7</v>
      </c>
      <c r="AR54" s="2" t="n">
        <v>0.3</v>
      </c>
      <c r="AS54" s="2" t="n">
        <v>3.3</v>
      </c>
      <c r="AT54" s="2" t="n">
        <v>0.1</v>
      </c>
      <c r="AU54" s="2" t="n">
        <v>1.1</v>
      </c>
      <c r="AV54" s="2" t="n">
        <v>1.8</v>
      </c>
      <c r="AW54" s="2" t="n">
        <v>6</v>
      </c>
      <c r="AX54" s="2" t="n">
        <v>1</v>
      </c>
      <c r="AY54" s="2" t="n">
        <v>1</v>
      </c>
      <c r="AZ54" s="2"/>
      <c r="BA54" s="2"/>
      <c r="BB54" s="2"/>
      <c r="BC54" s="2"/>
      <c r="BD54" s="4" t="s">
        <v>278</v>
      </c>
    </row>
    <row r="55" customFormat="false" ht="15" hidden="false" customHeight="false" outlineLevel="0" collapsed="false">
      <c r="A55" s="2" t="n">
        <v>1448116</v>
      </c>
      <c r="B55" s="2" t="s">
        <v>279</v>
      </c>
      <c r="C55" s="2" t="s">
        <v>249</v>
      </c>
      <c r="D55" s="2" t="s">
        <v>58</v>
      </c>
      <c r="E55" s="2" t="s">
        <v>59</v>
      </c>
      <c r="F55" s="2" t="s">
        <v>70</v>
      </c>
      <c r="G55" s="2" t="s">
        <v>71</v>
      </c>
      <c r="H55" s="2" t="s">
        <v>280</v>
      </c>
      <c r="I55" s="2" t="n">
        <v>7</v>
      </c>
      <c r="J55" s="2" t="n">
        <v>26</v>
      </c>
      <c r="K55" s="2" t="s">
        <v>281</v>
      </c>
      <c r="L55" s="2" t="s">
        <v>67</v>
      </c>
      <c r="M55" s="2" t="n">
        <v>185</v>
      </c>
      <c r="N55" s="3" t="n">
        <v>77196</v>
      </c>
      <c r="O55" s="2"/>
      <c r="P55" s="2" t="n">
        <v>18</v>
      </c>
      <c r="Q55" s="3" t="n">
        <v>700</v>
      </c>
      <c r="R55" s="2" t="n">
        <v>6.64</v>
      </c>
      <c r="S55" s="2" t="n">
        <v>0</v>
      </c>
      <c r="T55" s="2" t="n">
        <v>2</v>
      </c>
      <c r="U55" s="2" t="n">
        <v>0</v>
      </c>
      <c r="V55" s="2"/>
      <c r="W55" s="2"/>
      <c r="X55" s="2" t="n">
        <v>0.26</v>
      </c>
      <c r="Y55" s="2" t="n">
        <v>1.8</v>
      </c>
      <c r="Z55" s="2" t="n">
        <v>1</v>
      </c>
      <c r="AA55" s="2" t="n">
        <v>14.3</v>
      </c>
      <c r="AB55" s="2"/>
      <c r="AC55" s="2" t="n">
        <v>5</v>
      </c>
      <c r="AD55" s="2" t="n">
        <v>0.6</v>
      </c>
      <c r="AE55" s="2"/>
      <c r="AF55" s="2" t="n">
        <v>26.6</v>
      </c>
      <c r="AG55" s="2" t="n">
        <v>84.8</v>
      </c>
      <c r="AH55" s="2" t="n">
        <v>1.8</v>
      </c>
      <c r="AI55" s="2" t="n">
        <v>51.9</v>
      </c>
      <c r="AJ55" s="2" t="n">
        <v>1</v>
      </c>
      <c r="AK55" s="2" t="n">
        <v>66.7</v>
      </c>
      <c r="AL55" s="2"/>
      <c r="AM55" s="2"/>
      <c r="AN55" s="2" t="n">
        <v>3.6</v>
      </c>
      <c r="AO55" s="2" t="n">
        <v>2.4</v>
      </c>
      <c r="AP55" s="2" t="n">
        <v>0.5</v>
      </c>
      <c r="AQ55" s="2" t="n">
        <v>0.6</v>
      </c>
      <c r="AR55" s="2"/>
      <c r="AS55" s="2" t="n">
        <v>3.2</v>
      </c>
      <c r="AT55" s="2" t="n">
        <v>0.3</v>
      </c>
      <c r="AU55" s="2" t="n">
        <v>1.3</v>
      </c>
      <c r="AV55" s="2" t="n">
        <v>1.2</v>
      </c>
      <c r="AW55" s="2" t="n">
        <v>1</v>
      </c>
      <c r="AX55" s="2"/>
      <c r="AY55" s="2"/>
      <c r="AZ55" s="2"/>
      <c r="BA55" s="2"/>
      <c r="BB55" s="2"/>
      <c r="BC55" s="2"/>
      <c r="BD55" s="4" t="s">
        <v>282</v>
      </c>
    </row>
    <row r="56" customFormat="false" ht="15" hidden="false" customHeight="false" outlineLevel="0" collapsed="false">
      <c r="A56" s="2" t="n">
        <v>1781459</v>
      </c>
      <c r="B56" s="2" t="s">
        <v>283</v>
      </c>
      <c r="C56" s="2" t="s">
        <v>249</v>
      </c>
      <c r="D56" s="2" t="s">
        <v>58</v>
      </c>
      <c r="E56" s="2" t="s">
        <v>59</v>
      </c>
      <c r="F56" s="2" t="s">
        <v>70</v>
      </c>
      <c r="G56" s="2"/>
      <c r="H56" s="2"/>
      <c r="I56" s="2" t="n">
        <v>2</v>
      </c>
      <c r="J56" s="2" t="n">
        <v>18</v>
      </c>
      <c r="K56" s="2" t="s">
        <v>284</v>
      </c>
      <c r="L56" s="2" t="s">
        <v>67</v>
      </c>
      <c r="M56" s="2" t="n">
        <v>180</v>
      </c>
      <c r="N56" s="3"/>
      <c r="O56" s="2"/>
      <c r="P56" s="2" t="n">
        <v>1</v>
      </c>
      <c r="Q56" s="3" t="n">
        <v>1</v>
      </c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4" t="s">
        <v>285</v>
      </c>
    </row>
    <row r="57" customFormat="false" ht="15" hidden="false" customHeight="false" outlineLevel="0" collapsed="false">
      <c r="A57" s="2" t="n">
        <v>1172904</v>
      </c>
      <c r="B57" s="2" t="s">
        <v>286</v>
      </c>
      <c r="C57" s="2" t="s">
        <v>249</v>
      </c>
      <c r="D57" s="2" t="s">
        <v>58</v>
      </c>
      <c r="E57" s="2" t="s">
        <v>59</v>
      </c>
      <c r="F57" s="2" t="s">
        <v>102</v>
      </c>
      <c r="G57" s="2" t="s">
        <v>103</v>
      </c>
      <c r="H57" s="2" t="s">
        <v>287</v>
      </c>
      <c r="I57" s="2" t="n">
        <v>8</v>
      </c>
      <c r="J57" s="2" t="n">
        <v>29</v>
      </c>
      <c r="K57" s="2" t="s">
        <v>288</v>
      </c>
      <c r="L57" s="2" t="s">
        <v>67</v>
      </c>
      <c r="M57" s="2" t="n">
        <v>170</v>
      </c>
      <c r="N57" s="3" t="n">
        <v>50000</v>
      </c>
      <c r="O57" s="2"/>
      <c r="P57" s="2" t="n">
        <v>26</v>
      </c>
      <c r="Q57" s="3" t="n">
        <v>2199</v>
      </c>
      <c r="R57" s="2" t="n">
        <v>7.21</v>
      </c>
      <c r="S57" s="2" t="n">
        <v>4</v>
      </c>
      <c r="T57" s="2" t="n">
        <v>8</v>
      </c>
      <c r="U57" s="2" t="n">
        <v>4</v>
      </c>
      <c r="V57" s="2" t="n">
        <v>4</v>
      </c>
      <c r="W57" s="2"/>
      <c r="X57" s="2" t="n">
        <v>0.33</v>
      </c>
      <c r="Y57" s="2" t="n">
        <v>1.3</v>
      </c>
      <c r="Z57" s="2" t="n">
        <v>0.5</v>
      </c>
      <c r="AA57" s="2" t="n">
        <v>25.8</v>
      </c>
      <c r="AB57" s="2" t="n">
        <v>2</v>
      </c>
      <c r="AC57" s="2" t="n">
        <v>21</v>
      </c>
      <c r="AD57" s="2" t="n">
        <v>0.9</v>
      </c>
      <c r="AE57" s="2" t="n">
        <v>5</v>
      </c>
      <c r="AF57" s="2" t="n">
        <v>43.4</v>
      </c>
      <c r="AG57" s="2" t="n">
        <v>86.3</v>
      </c>
      <c r="AH57" s="2" t="n">
        <v>2.4</v>
      </c>
      <c r="AI57" s="2" t="n">
        <v>57.3</v>
      </c>
      <c r="AJ57" s="2" t="n">
        <v>0.2</v>
      </c>
      <c r="AK57" s="2" t="n">
        <v>33.3</v>
      </c>
      <c r="AL57" s="2" t="n">
        <v>1</v>
      </c>
      <c r="AM57" s="2" t="n">
        <v>2.6</v>
      </c>
      <c r="AN57" s="2" t="n">
        <v>4</v>
      </c>
      <c r="AO57" s="2" t="n">
        <v>1.2</v>
      </c>
      <c r="AP57" s="2" t="n">
        <v>1.4</v>
      </c>
      <c r="AQ57" s="2" t="n">
        <v>1.4</v>
      </c>
      <c r="AR57" s="2" t="n">
        <v>0.1</v>
      </c>
      <c r="AS57" s="2" t="n">
        <v>5.2</v>
      </c>
      <c r="AT57" s="2" t="n">
        <v>0.5</v>
      </c>
      <c r="AU57" s="2" t="n">
        <v>3.5</v>
      </c>
      <c r="AV57" s="2" t="n">
        <v>2.2</v>
      </c>
      <c r="AW57" s="2" t="n">
        <v>6</v>
      </c>
      <c r="AX57" s="2"/>
      <c r="AY57" s="2"/>
      <c r="AZ57" s="2"/>
      <c r="BA57" s="2"/>
      <c r="BB57" s="2"/>
      <c r="BC57" s="2"/>
      <c r="BD57" s="4" t="s">
        <v>289</v>
      </c>
    </row>
    <row r="58" customFormat="false" ht="15" hidden="false" customHeight="false" outlineLevel="0" collapsed="false">
      <c r="A58" s="2" t="n">
        <v>1902106</v>
      </c>
      <c r="B58" s="2" t="s">
        <v>290</v>
      </c>
      <c r="C58" s="2" t="s">
        <v>249</v>
      </c>
      <c r="D58" s="2" t="s">
        <v>58</v>
      </c>
      <c r="E58" s="2" t="s">
        <v>59</v>
      </c>
      <c r="F58" s="2" t="s">
        <v>102</v>
      </c>
      <c r="G58" s="2" t="s">
        <v>103</v>
      </c>
      <c r="H58" s="2" t="s">
        <v>123</v>
      </c>
      <c r="I58" s="2" t="n">
        <v>88</v>
      </c>
      <c r="J58" s="2" t="n">
        <v>25</v>
      </c>
      <c r="K58" s="2" t="s">
        <v>291</v>
      </c>
      <c r="L58" s="2" t="s">
        <v>292</v>
      </c>
      <c r="M58" s="2" t="n">
        <v>190</v>
      </c>
      <c r="N58" s="3" t="n">
        <v>113384</v>
      </c>
      <c r="O58" s="2"/>
      <c r="P58" s="2" t="n">
        <v>25</v>
      </c>
      <c r="Q58" s="3" t="n">
        <v>1469</v>
      </c>
      <c r="R58" s="2" t="n">
        <v>6.71</v>
      </c>
      <c r="S58" s="2" t="n">
        <v>1</v>
      </c>
      <c r="T58" s="2" t="n">
        <v>3</v>
      </c>
      <c r="U58" s="2" t="n">
        <v>0</v>
      </c>
      <c r="V58" s="2"/>
      <c r="W58" s="2"/>
      <c r="X58" s="2" t="n">
        <v>0.18</v>
      </c>
      <c r="Y58" s="2" t="n">
        <v>0.8</v>
      </c>
      <c r="Z58" s="2" t="n">
        <v>0.3</v>
      </c>
      <c r="AA58" s="2" t="n">
        <v>23.1</v>
      </c>
      <c r="AB58" s="2" t="n">
        <v>1</v>
      </c>
      <c r="AC58" s="2" t="n">
        <v>10</v>
      </c>
      <c r="AD58" s="2" t="n">
        <v>0.6</v>
      </c>
      <c r="AE58" s="2" t="n">
        <v>1</v>
      </c>
      <c r="AF58" s="2" t="n">
        <v>48.9</v>
      </c>
      <c r="AG58" s="2" t="n">
        <v>87.3</v>
      </c>
      <c r="AH58" s="2" t="n">
        <v>3.4</v>
      </c>
      <c r="AI58" s="2" t="n">
        <v>57.9</v>
      </c>
      <c r="AJ58" s="2" t="n">
        <v>0.5</v>
      </c>
      <c r="AK58" s="2" t="n">
        <v>61.5</v>
      </c>
      <c r="AL58" s="2"/>
      <c r="AM58" s="2"/>
      <c r="AN58" s="2" t="n">
        <v>3.7</v>
      </c>
      <c r="AO58" s="2" t="n">
        <v>1.7</v>
      </c>
      <c r="AP58" s="2" t="n">
        <v>0.8</v>
      </c>
      <c r="AQ58" s="2" t="n">
        <v>1.2</v>
      </c>
      <c r="AR58" s="2" t="n">
        <v>0.1</v>
      </c>
      <c r="AS58" s="2" t="n">
        <v>4.4</v>
      </c>
      <c r="AT58" s="2" t="n">
        <v>0.4</v>
      </c>
      <c r="AU58" s="2" t="n">
        <v>2.6</v>
      </c>
      <c r="AV58" s="2" t="n">
        <v>1.6</v>
      </c>
      <c r="AW58" s="2" t="n">
        <v>6</v>
      </c>
      <c r="AX58" s="2"/>
      <c r="AY58" s="2"/>
      <c r="AZ58" s="2"/>
      <c r="BA58" s="2"/>
      <c r="BB58" s="2"/>
      <c r="BC58" s="2"/>
      <c r="BD58" s="4" t="s">
        <v>293</v>
      </c>
    </row>
    <row r="59" customFormat="false" ht="15" hidden="false" customHeight="false" outlineLevel="0" collapsed="false">
      <c r="A59" s="2" t="n">
        <v>938954</v>
      </c>
      <c r="B59" s="2" t="s">
        <v>294</v>
      </c>
      <c r="C59" s="2" t="s">
        <v>249</v>
      </c>
      <c r="D59" s="2" t="s">
        <v>58</v>
      </c>
      <c r="E59" s="2" t="s">
        <v>59</v>
      </c>
      <c r="F59" s="2" t="s">
        <v>102</v>
      </c>
      <c r="G59" s="2" t="s">
        <v>113</v>
      </c>
      <c r="H59" s="2" t="s">
        <v>295</v>
      </c>
      <c r="I59" s="2" t="n">
        <v>10</v>
      </c>
      <c r="J59" s="2" t="n">
        <v>27</v>
      </c>
      <c r="K59" s="2" t="s">
        <v>296</v>
      </c>
      <c r="L59" s="2" t="s">
        <v>297</v>
      </c>
      <c r="M59" s="2" t="n">
        <v>173</v>
      </c>
      <c r="N59" s="3" t="n">
        <v>120329</v>
      </c>
      <c r="O59" s="2"/>
      <c r="P59" s="2" t="n">
        <v>20</v>
      </c>
      <c r="Q59" s="3" t="n">
        <v>924</v>
      </c>
      <c r="R59" s="2" t="n">
        <v>6.61</v>
      </c>
      <c r="S59" s="2" t="n">
        <v>0</v>
      </c>
      <c r="T59" s="2" t="n">
        <v>2</v>
      </c>
      <c r="U59" s="2" t="n">
        <v>0</v>
      </c>
      <c r="V59" s="2" t="n">
        <v>1</v>
      </c>
      <c r="W59" s="2"/>
      <c r="X59" s="2" t="n">
        <v>0.19</v>
      </c>
      <c r="Y59" s="2" t="n">
        <v>1.9</v>
      </c>
      <c r="Z59" s="2" t="n">
        <v>0.3</v>
      </c>
      <c r="AA59" s="2" t="n">
        <v>10.5</v>
      </c>
      <c r="AB59" s="2" t="n">
        <v>2</v>
      </c>
      <c r="AC59" s="2" t="n">
        <v>8</v>
      </c>
      <c r="AD59" s="2" t="n">
        <v>0.8</v>
      </c>
      <c r="AE59" s="2" t="n">
        <v>1</v>
      </c>
      <c r="AF59" s="2" t="n">
        <v>41.8</v>
      </c>
      <c r="AG59" s="2" t="n">
        <v>85.3</v>
      </c>
      <c r="AH59" s="2" t="n">
        <v>1.6</v>
      </c>
      <c r="AI59" s="2" t="n">
        <v>48.5</v>
      </c>
      <c r="AJ59" s="2" t="n">
        <v>1.2</v>
      </c>
      <c r="AK59" s="2" t="n">
        <v>57.1</v>
      </c>
      <c r="AL59" s="2"/>
      <c r="AM59" s="2"/>
      <c r="AN59" s="2" t="n">
        <v>2.1</v>
      </c>
      <c r="AO59" s="2" t="n">
        <v>1.1</v>
      </c>
      <c r="AP59" s="2" t="n">
        <v>0.7</v>
      </c>
      <c r="AQ59" s="2" t="n">
        <v>0.3</v>
      </c>
      <c r="AR59" s="2" t="n">
        <v>0.1</v>
      </c>
      <c r="AS59" s="2" t="n">
        <v>4.3</v>
      </c>
      <c r="AT59" s="2" t="n">
        <v>0.6</v>
      </c>
      <c r="AU59" s="2" t="n">
        <v>1.8</v>
      </c>
      <c r="AV59" s="2" t="n">
        <v>1.7</v>
      </c>
      <c r="AW59" s="2" t="n">
        <v>2</v>
      </c>
      <c r="AX59" s="2" t="n">
        <v>1</v>
      </c>
      <c r="AY59" s="2"/>
      <c r="AZ59" s="2"/>
      <c r="BA59" s="2"/>
      <c r="BB59" s="2"/>
      <c r="BC59" s="2"/>
      <c r="BD59" s="4" t="s">
        <v>298</v>
      </c>
    </row>
    <row r="60" customFormat="false" ht="15" hidden="false" customHeight="false" outlineLevel="0" collapsed="false">
      <c r="A60" s="2" t="n">
        <v>1252861</v>
      </c>
      <c r="B60" s="2" t="s">
        <v>299</v>
      </c>
      <c r="C60" s="2" t="s">
        <v>249</v>
      </c>
      <c r="D60" s="2" t="s">
        <v>58</v>
      </c>
      <c r="E60" s="2" t="s">
        <v>59</v>
      </c>
      <c r="F60" s="2" t="s">
        <v>102</v>
      </c>
      <c r="G60" s="2" t="s">
        <v>103</v>
      </c>
      <c r="H60" s="2" t="s">
        <v>300</v>
      </c>
      <c r="I60" s="2" t="n">
        <v>91</v>
      </c>
      <c r="J60" s="2" t="n">
        <v>25</v>
      </c>
      <c r="K60" s="2" t="s">
        <v>301</v>
      </c>
      <c r="L60" s="2" t="s">
        <v>297</v>
      </c>
      <c r="M60" s="2" t="n">
        <v>180</v>
      </c>
      <c r="N60" s="3" t="n">
        <v>81001</v>
      </c>
      <c r="O60" s="2"/>
      <c r="P60" s="2" t="n">
        <v>15</v>
      </c>
      <c r="Q60" s="3" t="n">
        <v>715</v>
      </c>
      <c r="R60" s="2" t="n">
        <v>6.78</v>
      </c>
      <c r="S60" s="2" t="n">
        <v>0</v>
      </c>
      <c r="T60" s="2"/>
      <c r="U60" s="2"/>
      <c r="V60" s="2" t="n">
        <v>1</v>
      </c>
      <c r="W60" s="2"/>
      <c r="X60" s="2"/>
      <c r="Y60" s="2" t="n">
        <v>1</v>
      </c>
      <c r="Z60" s="2" t="n">
        <v>0.3</v>
      </c>
      <c r="AA60" s="2" t="n">
        <v>0</v>
      </c>
      <c r="AB60" s="2"/>
      <c r="AC60" s="2" t="n">
        <v>6</v>
      </c>
      <c r="AD60" s="2" t="n">
        <v>0.8</v>
      </c>
      <c r="AE60" s="2" t="n">
        <v>2</v>
      </c>
      <c r="AF60" s="2" t="n">
        <v>44.8</v>
      </c>
      <c r="AG60" s="2" t="n">
        <v>86.2</v>
      </c>
      <c r="AH60" s="2" t="n">
        <v>2.6</v>
      </c>
      <c r="AI60" s="2" t="n">
        <v>51.2</v>
      </c>
      <c r="AJ60" s="2" t="n">
        <v>0.6</v>
      </c>
      <c r="AK60" s="2" t="n">
        <v>33.3</v>
      </c>
      <c r="AL60" s="2"/>
      <c r="AM60" s="2"/>
      <c r="AN60" s="2" t="n">
        <v>5.4</v>
      </c>
      <c r="AO60" s="2" t="n">
        <v>1.9</v>
      </c>
      <c r="AP60" s="2" t="n">
        <v>1.9</v>
      </c>
      <c r="AQ60" s="2" t="n">
        <v>1.5</v>
      </c>
      <c r="AR60" s="2" t="n">
        <v>0.1</v>
      </c>
      <c r="AS60" s="2" t="n">
        <v>7.8</v>
      </c>
      <c r="AT60" s="2" t="n">
        <v>0.8</v>
      </c>
      <c r="AU60" s="2" t="n">
        <v>3</v>
      </c>
      <c r="AV60" s="2" t="n">
        <v>1.5</v>
      </c>
      <c r="AW60" s="2" t="n">
        <v>2</v>
      </c>
      <c r="AX60" s="2"/>
      <c r="AY60" s="2"/>
      <c r="AZ60" s="2"/>
      <c r="BA60" s="2"/>
      <c r="BB60" s="2"/>
      <c r="BC60" s="2"/>
      <c r="BD60" s="4" t="s">
        <v>302</v>
      </c>
    </row>
    <row r="61" customFormat="false" ht="15" hidden="false" customHeight="false" outlineLevel="0" collapsed="false">
      <c r="A61" s="2" t="n">
        <v>877678</v>
      </c>
      <c r="B61" s="2" t="s">
        <v>303</v>
      </c>
      <c r="C61" s="2" t="s">
        <v>249</v>
      </c>
      <c r="D61" s="2" t="s">
        <v>58</v>
      </c>
      <c r="E61" s="2" t="s">
        <v>59</v>
      </c>
      <c r="F61" s="2" t="s">
        <v>102</v>
      </c>
      <c r="G61" s="2" t="s">
        <v>103</v>
      </c>
      <c r="H61" s="2" t="s">
        <v>103</v>
      </c>
      <c r="I61" s="2" t="n">
        <v>4</v>
      </c>
      <c r="J61" s="2" t="n">
        <v>28</v>
      </c>
      <c r="K61" s="2" t="s">
        <v>304</v>
      </c>
      <c r="L61" s="2" t="s">
        <v>110</v>
      </c>
      <c r="M61" s="2" t="n">
        <v>178</v>
      </c>
      <c r="N61" s="3" t="n">
        <v>50000</v>
      </c>
      <c r="O61" s="2"/>
      <c r="P61" s="2" t="n">
        <v>12</v>
      </c>
      <c r="Q61" s="3" t="n">
        <v>296</v>
      </c>
      <c r="R61" s="2"/>
      <c r="S61" s="2"/>
      <c r="T61" s="2" t="n">
        <v>1</v>
      </c>
      <c r="U61" s="2" t="n">
        <v>0</v>
      </c>
      <c r="V61" s="2"/>
      <c r="W61" s="2"/>
      <c r="X61" s="2"/>
      <c r="Y61" s="2"/>
      <c r="Z61" s="2"/>
      <c r="AA61" s="2"/>
      <c r="AB61" s="2"/>
      <c r="AC61" s="2" t="n">
        <v>2</v>
      </c>
      <c r="AD61" s="2" t="n">
        <v>0.6</v>
      </c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 t="n">
        <v>1</v>
      </c>
      <c r="AX61" s="2"/>
      <c r="AY61" s="2"/>
      <c r="AZ61" s="2"/>
      <c r="BA61" s="2"/>
      <c r="BB61" s="2"/>
      <c r="BC61" s="2"/>
      <c r="BD61" s="4" t="s">
        <v>305</v>
      </c>
    </row>
    <row r="62" customFormat="false" ht="15" hidden="false" customHeight="false" outlineLevel="0" collapsed="false">
      <c r="A62" s="2" t="n">
        <v>1921633</v>
      </c>
      <c r="B62" s="2" t="s">
        <v>306</v>
      </c>
      <c r="C62" s="2" t="s">
        <v>249</v>
      </c>
      <c r="D62" s="2" t="s">
        <v>58</v>
      </c>
      <c r="E62" s="2" t="s">
        <v>59</v>
      </c>
      <c r="F62" s="2" t="s">
        <v>102</v>
      </c>
      <c r="G62" s="2"/>
      <c r="H62" s="2"/>
      <c r="I62" s="2" t="n">
        <v>17</v>
      </c>
      <c r="J62" s="2" t="n">
        <v>18</v>
      </c>
      <c r="K62" s="2" t="s">
        <v>307</v>
      </c>
      <c r="L62" s="2" t="s">
        <v>67</v>
      </c>
      <c r="M62" s="2" t="n">
        <v>178</v>
      </c>
      <c r="N62" s="3"/>
      <c r="O62" s="2"/>
      <c r="P62" s="2" t="n">
        <v>5</v>
      </c>
      <c r="Q62" s="3" t="n">
        <v>43</v>
      </c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4" t="s">
        <v>308</v>
      </c>
    </row>
    <row r="63" customFormat="false" ht="15" hidden="false" customHeight="false" outlineLevel="0" collapsed="false">
      <c r="A63" s="2" t="n">
        <v>2205532</v>
      </c>
      <c r="B63" s="2" t="s">
        <v>309</v>
      </c>
      <c r="C63" s="2" t="s">
        <v>249</v>
      </c>
      <c r="D63" s="2" t="s">
        <v>58</v>
      </c>
      <c r="E63" s="2" t="s">
        <v>59</v>
      </c>
      <c r="F63" s="2" t="s">
        <v>102</v>
      </c>
      <c r="G63" s="2"/>
      <c r="H63" s="2"/>
      <c r="I63" s="2" t="n">
        <v>36</v>
      </c>
      <c r="J63" s="2" t="n">
        <v>17</v>
      </c>
      <c r="K63" s="2" t="s">
        <v>310</v>
      </c>
      <c r="L63" s="2" t="s">
        <v>67</v>
      </c>
      <c r="M63" s="2" t="n">
        <v>180</v>
      </c>
      <c r="N63" s="3"/>
      <c r="O63" s="2"/>
      <c r="P63" s="2"/>
      <c r="Q63" s="3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4" t="s">
        <v>311</v>
      </c>
    </row>
    <row r="64" customFormat="false" ht="15" hidden="false" customHeight="false" outlineLevel="0" collapsed="false">
      <c r="A64" s="2" t="n">
        <v>1124831</v>
      </c>
      <c r="B64" s="2" t="s">
        <v>312</v>
      </c>
      <c r="C64" s="2" t="s">
        <v>249</v>
      </c>
      <c r="D64" s="2" t="s">
        <v>58</v>
      </c>
      <c r="E64" s="2" t="s">
        <v>59</v>
      </c>
      <c r="F64" s="2" t="s">
        <v>137</v>
      </c>
      <c r="G64" s="2" t="s">
        <v>138</v>
      </c>
      <c r="H64" s="2" t="s">
        <v>313</v>
      </c>
      <c r="I64" s="2" t="n">
        <v>29</v>
      </c>
      <c r="J64" s="2" t="n">
        <v>28</v>
      </c>
      <c r="K64" s="2" t="s">
        <v>314</v>
      </c>
      <c r="L64" s="2" t="s">
        <v>67</v>
      </c>
      <c r="M64" s="2" t="n">
        <v>175</v>
      </c>
      <c r="N64" s="3" t="n">
        <v>50000</v>
      </c>
      <c r="O64" s="2"/>
      <c r="P64" s="2" t="n">
        <v>26</v>
      </c>
      <c r="Q64" s="3" t="n">
        <v>2192</v>
      </c>
      <c r="R64" s="2" t="n">
        <v>7.47</v>
      </c>
      <c r="S64" s="2" t="n">
        <v>2</v>
      </c>
      <c r="T64" s="2" t="n">
        <v>2</v>
      </c>
      <c r="U64" s="2" t="n">
        <v>0</v>
      </c>
      <c r="V64" s="2" t="n">
        <v>9</v>
      </c>
      <c r="W64" s="2"/>
      <c r="X64" s="2" t="n">
        <v>0.08</v>
      </c>
      <c r="Y64" s="2" t="n">
        <v>1.4</v>
      </c>
      <c r="Z64" s="2" t="n">
        <v>0.4</v>
      </c>
      <c r="AA64" s="2" t="n">
        <v>6.1</v>
      </c>
      <c r="AB64" s="2" t="n">
        <v>2</v>
      </c>
      <c r="AC64" s="2" t="n">
        <v>49</v>
      </c>
      <c r="AD64" s="2" t="n">
        <v>2</v>
      </c>
      <c r="AE64" s="2" t="n">
        <v>10</v>
      </c>
      <c r="AF64" s="2" t="n">
        <v>35.9</v>
      </c>
      <c r="AG64" s="2" t="n">
        <v>83</v>
      </c>
      <c r="AH64" s="2" t="n">
        <v>2.2</v>
      </c>
      <c r="AI64" s="2" t="n">
        <v>61.6</v>
      </c>
      <c r="AJ64" s="2" t="n">
        <v>1</v>
      </c>
      <c r="AK64" s="2" t="n">
        <v>49</v>
      </c>
      <c r="AL64" s="2"/>
      <c r="AM64" s="2"/>
      <c r="AN64" s="2" t="n">
        <v>2.2</v>
      </c>
      <c r="AO64" s="2" t="n">
        <v>1.4</v>
      </c>
      <c r="AP64" s="2" t="n">
        <v>0.5</v>
      </c>
      <c r="AQ64" s="2" t="n">
        <v>0.2</v>
      </c>
      <c r="AR64" s="2"/>
      <c r="AS64" s="2" t="n">
        <v>3.3</v>
      </c>
      <c r="AT64" s="2" t="n">
        <v>0.5</v>
      </c>
      <c r="AU64" s="2" t="n">
        <v>1.6</v>
      </c>
      <c r="AV64" s="2" t="n">
        <v>0.7</v>
      </c>
      <c r="AW64" s="2" t="n">
        <v>2</v>
      </c>
      <c r="AX64" s="2"/>
      <c r="AY64" s="2"/>
      <c r="AZ64" s="2"/>
      <c r="BA64" s="2"/>
      <c r="BB64" s="2"/>
      <c r="BC64" s="2"/>
      <c r="BD64" s="4" t="s">
        <v>315</v>
      </c>
    </row>
    <row r="65" customFormat="false" ht="15" hidden="false" customHeight="false" outlineLevel="0" collapsed="false">
      <c r="A65" s="2" t="n">
        <v>1166273</v>
      </c>
      <c r="B65" s="2" t="s">
        <v>316</v>
      </c>
      <c r="C65" s="2" t="s">
        <v>249</v>
      </c>
      <c r="D65" s="2" t="s">
        <v>58</v>
      </c>
      <c r="E65" s="2" t="s">
        <v>59</v>
      </c>
      <c r="F65" s="2" t="s">
        <v>137</v>
      </c>
      <c r="G65" s="2" t="s">
        <v>147</v>
      </c>
      <c r="H65" s="2" t="s">
        <v>317</v>
      </c>
      <c r="I65" s="2" t="n">
        <v>90</v>
      </c>
      <c r="J65" s="2" t="n">
        <v>29</v>
      </c>
      <c r="K65" s="2" t="s">
        <v>318</v>
      </c>
      <c r="L65" s="2" t="s">
        <v>319</v>
      </c>
      <c r="M65" s="2" t="n">
        <v>191</v>
      </c>
      <c r="N65" s="3" t="n">
        <v>74148</v>
      </c>
      <c r="O65" s="2"/>
      <c r="P65" s="2" t="n">
        <v>26</v>
      </c>
      <c r="Q65" s="3" t="n">
        <v>2008</v>
      </c>
      <c r="R65" s="2" t="n">
        <v>7.09</v>
      </c>
      <c r="S65" s="2" t="n">
        <v>4</v>
      </c>
      <c r="T65" s="2" t="n">
        <v>7</v>
      </c>
      <c r="U65" s="2" t="n">
        <v>0</v>
      </c>
      <c r="V65" s="2" t="n">
        <v>5</v>
      </c>
      <c r="W65" s="2"/>
      <c r="X65" s="2" t="n">
        <v>0.31</v>
      </c>
      <c r="Y65" s="2" t="n">
        <v>3</v>
      </c>
      <c r="Z65" s="2" t="n">
        <v>1.1</v>
      </c>
      <c r="AA65" s="2" t="n">
        <v>10.6</v>
      </c>
      <c r="AB65" s="2" t="n">
        <v>7</v>
      </c>
      <c r="AC65" s="2" t="n">
        <v>29</v>
      </c>
      <c r="AD65" s="2" t="n">
        <v>1.3</v>
      </c>
      <c r="AE65" s="2" t="n">
        <v>6</v>
      </c>
      <c r="AF65" s="2" t="n">
        <v>14</v>
      </c>
      <c r="AG65" s="2" t="n">
        <v>74.3</v>
      </c>
      <c r="AH65" s="2" t="n">
        <v>0.7</v>
      </c>
      <c r="AI65" s="2" t="n">
        <v>57.7</v>
      </c>
      <c r="AJ65" s="2" t="n">
        <v>1.1</v>
      </c>
      <c r="AK65" s="2" t="n">
        <v>45.5</v>
      </c>
      <c r="AL65" s="2" t="n">
        <v>1</v>
      </c>
      <c r="AM65" s="2" t="n">
        <v>2.1</v>
      </c>
      <c r="AN65" s="2" t="n">
        <v>1.2</v>
      </c>
      <c r="AO65" s="2" t="n">
        <v>0.4</v>
      </c>
      <c r="AP65" s="2" t="n">
        <v>0.1</v>
      </c>
      <c r="AQ65" s="2" t="n">
        <v>0.5</v>
      </c>
      <c r="AR65" s="2" t="n">
        <v>0.1</v>
      </c>
      <c r="AS65" s="2" t="n">
        <v>2.2</v>
      </c>
      <c r="AT65" s="2" t="n">
        <v>0.5</v>
      </c>
      <c r="AU65" s="2" t="n">
        <v>1.4</v>
      </c>
      <c r="AV65" s="2" t="n">
        <v>1.3</v>
      </c>
      <c r="AW65" s="2" t="n">
        <v>6</v>
      </c>
      <c r="AX65" s="2"/>
      <c r="AY65" s="2"/>
      <c r="AZ65" s="2"/>
      <c r="BA65" s="2"/>
      <c r="BB65" s="2"/>
      <c r="BC65" s="2"/>
      <c r="BD65" s="4" t="s">
        <v>320</v>
      </c>
    </row>
    <row r="66" customFormat="false" ht="15" hidden="false" customHeight="false" outlineLevel="0" collapsed="false">
      <c r="A66" s="2" t="n">
        <v>919527</v>
      </c>
      <c r="B66" s="2" t="s">
        <v>321</v>
      </c>
      <c r="C66" s="2" t="s">
        <v>249</v>
      </c>
      <c r="D66" s="2" t="s">
        <v>58</v>
      </c>
      <c r="E66" s="2" t="s">
        <v>59</v>
      </c>
      <c r="F66" s="2" t="s">
        <v>137</v>
      </c>
      <c r="G66" s="2" t="s">
        <v>133</v>
      </c>
      <c r="H66" s="2" t="s">
        <v>322</v>
      </c>
      <c r="I66" s="2" t="n">
        <v>99</v>
      </c>
      <c r="J66" s="2" t="n">
        <v>29</v>
      </c>
      <c r="K66" s="2" t="s">
        <v>323</v>
      </c>
      <c r="L66" s="2" t="s">
        <v>85</v>
      </c>
      <c r="M66" s="2" t="n">
        <v>168</v>
      </c>
      <c r="N66" s="3" t="n">
        <v>50000</v>
      </c>
      <c r="O66" s="2"/>
      <c r="P66" s="2" t="n">
        <v>26</v>
      </c>
      <c r="Q66" s="3" t="n">
        <v>1468</v>
      </c>
      <c r="R66" s="2" t="n">
        <v>6.9</v>
      </c>
      <c r="S66" s="2" t="n">
        <v>2</v>
      </c>
      <c r="T66" s="2" t="n">
        <v>9</v>
      </c>
      <c r="U66" s="2" t="n">
        <v>0</v>
      </c>
      <c r="V66" s="2" t="n">
        <v>2</v>
      </c>
      <c r="W66" s="2"/>
      <c r="X66" s="2" t="n">
        <v>0.55</v>
      </c>
      <c r="Y66" s="2" t="n">
        <v>1.9</v>
      </c>
      <c r="Z66" s="2" t="n">
        <v>1.1</v>
      </c>
      <c r="AA66" s="2" t="n">
        <v>29</v>
      </c>
      <c r="AB66" s="2" t="n">
        <v>9</v>
      </c>
      <c r="AC66" s="2" t="n">
        <v>22</v>
      </c>
      <c r="AD66" s="2" t="n">
        <v>1.3</v>
      </c>
      <c r="AE66" s="2" t="n">
        <v>1</v>
      </c>
      <c r="AF66" s="2" t="n">
        <v>17.5</v>
      </c>
      <c r="AG66" s="2" t="n">
        <v>80.8</v>
      </c>
      <c r="AH66" s="2" t="n">
        <v>0.5</v>
      </c>
      <c r="AI66" s="2" t="n">
        <v>44.4</v>
      </c>
      <c r="AJ66" s="2" t="n">
        <v>0.4</v>
      </c>
      <c r="AK66" s="2" t="n">
        <v>33.3</v>
      </c>
      <c r="AL66" s="2"/>
      <c r="AM66" s="2"/>
      <c r="AN66" s="2" t="n">
        <v>1.7</v>
      </c>
      <c r="AO66" s="2" t="n">
        <v>0.6</v>
      </c>
      <c r="AP66" s="2" t="n">
        <v>0.6</v>
      </c>
      <c r="AQ66" s="2" t="n">
        <v>0.5</v>
      </c>
      <c r="AR66" s="2"/>
      <c r="AS66" s="2" t="n">
        <v>2.5</v>
      </c>
      <c r="AT66" s="2" t="n">
        <v>0.5</v>
      </c>
      <c r="AU66" s="2" t="n">
        <v>1.3</v>
      </c>
      <c r="AV66" s="2" t="n">
        <v>1</v>
      </c>
      <c r="AW66" s="2" t="n">
        <v>4</v>
      </c>
      <c r="AX66" s="2"/>
      <c r="AY66" s="2"/>
      <c r="AZ66" s="2"/>
      <c r="BA66" s="2"/>
      <c r="BB66" s="2"/>
      <c r="BC66" s="2"/>
      <c r="BD66" s="4" t="s">
        <v>324</v>
      </c>
    </row>
    <row r="67" customFormat="false" ht="15" hidden="false" customHeight="false" outlineLevel="0" collapsed="false">
      <c r="A67" s="2" t="n">
        <v>1666357</v>
      </c>
      <c r="B67" s="2" t="s">
        <v>325</v>
      </c>
      <c r="C67" s="2" t="s">
        <v>249</v>
      </c>
      <c r="D67" s="2" t="s">
        <v>58</v>
      </c>
      <c r="E67" s="2" t="s">
        <v>59</v>
      </c>
      <c r="F67" s="2" t="s">
        <v>137</v>
      </c>
      <c r="G67" s="2" t="s">
        <v>147</v>
      </c>
      <c r="H67" s="2" t="s">
        <v>147</v>
      </c>
      <c r="I67" s="2" t="n">
        <v>30</v>
      </c>
      <c r="J67" s="2" t="n">
        <v>19</v>
      </c>
      <c r="K67" s="2" t="s">
        <v>326</v>
      </c>
      <c r="L67" s="2" t="s">
        <v>67</v>
      </c>
      <c r="M67" s="2" t="n">
        <v>185</v>
      </c>
      <c r="N67" s="3" t="n">
        <v>396619</v>
      </c>
      <c r="O67" s="2"/>
      <c r="P67" s="2" t="n">
        <v>20</v>
      </c>
      <c r="Q67" s="3" t="n">
        <v>1073</v>
      </c>
      <c r="R67" s="2" t="n">
        <v>6.91</v>
      </c>
      <c r="S67" s="2" t="n">
        <v>2</v>
      </c>
      <c r="T67" s="2" t="n">
        <v>7</v>
      </c>
      <c r="U67" s="2" t="n">
        <v>0</v>
      </c>
      <c r="V67" s="2" t="n">
        <v>2</v>
      </c>
      <c r="W67" s="2"/>
      <c r="X67" s="2" t="n">
        <v>0.59</v>
      </c>
      <c r="Y67" s="2" t="n">
        <v>2.7</v>
      </c>
      <c r="Z67" s="2" t="n">
        <v>1.2</v>
      </c>
      <c r="AA67" s="2" t="n">
        <v>21.9</v>
      </c>
      <c r="AB67" s="2" t="n">
        <v>6</v>
      </c>
      <c r="AC67" s="2" t="n">
        <v>11</v>
      </c>
      <c r="AD67" s="2" t="n">
        <v>0.9</v>
      </c>
      <c r="AE67" s="2" t="n">
        <v>4</v>
      </c>
      <c r="AF67" s="2" t="n">
        <v>10.1</v>
      </c>
      <c r="AG67" s="2" t="n">
        <v>71.9</v>
      </c>
      <c r="AH67" s="2" t="n">
        <v>0.1</v>
      </c>
      <c r="AI67" s="2" t="n">
        <v>50</v>
      </c>
      <c r="AJ67" s="2" t="n">
        <v>0.7</v>
      </c>
      <c r="AK67" s="2" t="n">
        <v>44.4</v>
      </c>
      <c r="AL67" s="2" t="n">
        <v>1</v>
      </c>
      <c r="AM67" s="2" t="n">
        <v>0.9</v>
      </c>
      <c r="AN67" s="2" t="n">
        <v>1.7</v>
      </c>
      <c r="AO67" s="2" t="n">
        <v>0.8</v>
      </c>
      <c r="AP67" s="2" t="n">
        <v>0.2</v>
      </c>
      <c r="AQ67" s="2" t="n">
        <v>0.7</v>
      </c>
      <c r="AR67" s="2" t="n">
        <v>0.1</v>
      </c>
      <c r="AS67" s="2" t="n">
        <v>1.3</v>
      </c>
      <c r="AT67" s="2" t="n">
        <v>0.5</v>
      </c>
      <c r="AU67" s="2" t="n">
        <v>0.8</v>
      </c>
      <c r="AV67" s="2" t="n">
        <v>1.2</v>
      </c>
      <c r="AW67" s="2"/>
      <c r="AX67" s="2"/>
      <c r="AY67" s="2"/>
      <c r="AZ67" s="2"/>
      <c r="BA67" s="2"/>
      <c r="BB67" s="2"/>
      <c r="BC67" s="2"/>
      <c r="BD67" s="4" t="s">
        <v>327</v>
      </c>
    </row>
    <row r="68" customFormat="false" ht="15" hidden="false" customHeight="false" outlineLevel="0" collapsed="false">
      <c r="A68" s="2" t="n">
        <v>1047604</v>
      </c>
      <c r="B68" s="2" t="s">
        <v>328</v>
      </c>
      <c r="C68" s="2" t="s">
        <v>249</v>
      </c>
      <c r="D68" s="2" t="s">
        <v>58</v>
      </c>
      <c r="E68" s="2" t="s">
        <v>59</v>
      </c>
      <c r="F68" s="2" t="s">
        <v>137</v>
      </c>
      <c r="G68" s="2" t="s">
        <v>147</v>
      </c>
      <c r="H68" s="2" t="s">
        <v>329</v>
      </c>
      <c r="I68" s="2" t="n">
        <v>13</v>
      </c>
      <c r="J68" s="2" t="n">
        <v>26</v>
      </c>
      <c r="K68" s="2" t="s">
        <v>330</v>
      </c>
      <c r="L68" s="2" t="s">
        <v>67</v>
      </c>
      <c r="M68" s="2" t="n">
        <v>175</v>
      </c>
      <c r="N68" s="3"/>
      <c r="O68" s="2"/>
      <c r="P68" s="2" t="n">
        <v>24</v>
      </c>
      <c r="Q68" s="3" t="n">
        <v>794</v>
      </c>
      <c r="R68" s="2" t="n">
        <v>6.63</v>
      </c>
      <c r="S68" s="2" t="n">
        <v>0</v>
      </c>
      <c r="T68" s="2" t="n">
        <v>4</v>
      </c>
      <c r="U68" s="2" t="n">
        <v>0</v>
      </c>
      <c r="V68" s="2" t="n">
        <v>2</v>
      </c>
      <c r="W68" s="2"/>
      <c r="X68" s="2" t="n">
        <v>0.45</v>
      </c>
      <c r="Y68" s="2" t="n">
        <v>2.9</v>
      </c>
      <c r="Z68" s="2" t="n">
        <v>1.6</v>
      </c>
      <c r="AA68" s="2" t="n">
        <v>15.4</v>
      </c>
      <c r="AB68" s="2" t="n">
        <v>3</v>
      </c>
      <c r="AC68" s="2" t="n">
        <v>9</v>
      </c>
      <c r="AD68" s="2" t="n">
        <v>1</v>
      </c>
      <c r="AE68" s="2" t="n">
        <v>2</v>
      </c>
      <c r="AF68" s="2" t="n">
        <v>18</v>
      </c>
      <c r="AG68" s="2" t="n">
        <v>77.9</v>
      </c>
      <c r="AH68" s="2" t="n">
        <v>0.5</v>
      </c>
      <c r="AI68" s="2" t="n">
        <v>50</v>
      </c>
      <c r="AJ68" s="2" t="n">
        <v>1.1</v>
      </c>
      <c r="AK68" s="2" t="n">
        <v>37</v>
      </c>
      <c r="AL68" s="2"/>
      <c r="AM68" s="2"/>
      <c r="AN68" s="2" t="n">
        <v>2.4</v>
      </c>
      <c r="AO68" s="2" t="n">
        <v>1.7</v>
      </c>
      <c r="AP68" s="2" t="n">
        <v>0.5</v>
      </c>
      <c r="AQ68" s="2" t="n">
        <v>0.2</v>
      </c>
      <c r="AR68" s="2"/>
      <c r="AS68" s="2" t="n">
        <v>2.2</v>
      </c>
      <c r="AT68" s="2" t="n">
        <v>0.2</v>
      </c>
      <c r="AU68" s="2" t="n">
        <v>1.2</v>
      </c>
      <c r="AV68" s="2" t="n">
        <v>1.1</v>
      </c>
      <c r="AW68" s="2"/>
      <c r="AX68" s="2"/>
      <c r="AY68" s="2"/>
      <c r="AZ68" s="2"/>
      <c r="BA68" s="2"/>
      <c r="BB68" s="2"/>
      <c r="BC68" s="2"/>
      <c r="BD68" s="4" t="s">
        <v>331</v>
      </c>
    </row>
    <row r="69" customFormat="false" ht="15" hidden="false" customHeight="false" outlineLevel="0" collapsed="false">
      <c r="A69" s="2" t="n">
        <v>1518693</v>
      </c>
      <c r="B69" s="2" t="s">
        <v>332</v>
      </c>
      <c r="C69" s="2" t="s">
        <v>249</v>
      </c>
      <c r="D69" s="2" t="s">
        <v>58</v>
      </c>
      <c r="E69" s="2" t="s">
        <v>59</v>
      </c>
      <c r="F69" s="2" t="s">
        <v>137</v>
      </c>
      <c r="G69" s="2" t="s">
        <v>147</v>
      </c>
      <c r="H69" s="2" t="s">
        <v>147</v>
      </c>
      <c r="I69" s="2" t="n">
        <v>12</v>
      </c>
      <c r="J69" s="2" t="n">
        <v>24</v>
      </c>
      <c r="K69" s="2" t="s">
        <v>333</v>
      </c>
      <c r="L69" s="2" t="s">
        <v>67</v>
      </c>
      <c r="M69" s="2" t="n">
        <v>193</v>
      </c>
      <c r="N69" s="3"/>
      <c r="O69" s="2"/>
      <c r="P69" s="2" t="n">
        <v>13</v>
      </c>
      <c r="Q69" s="3" t="n">
        <v>188</v>
      </c>
      <c r="R69" s="2"/>
      <c r="S69" s="2"/>
      <c r="T69" s="2" t="n">
        <v>2</v>
      </c>
      <c r="U69" s="2" t="n">
        <v>0</v>
      </c>
      <c r="V69" s="2"/>
      <c r="W69" s="2"/>
      <c r="X69" s="2" t="n">
        <v>0.96</v>
      </c>
      <c r="Y69" s="2" t="n">
        <v>4.3</v>
      </c>
      <c r="Z69" s="2" t="n">
        <v>2.4</v>
      </c>
      <c r="AA69" s="2" t="n">
        <v>22.2</v>
      </c>
      <c r="AB69" s="2" t="n">
        <v>3</v>
      </c>
      <c r="AC69" s="2" t="n">
        <v>1</v>
      </c>
      <c r="AD69" s="2" t="n">
        <v>0.5</v>
      </c>
      <c r="AE69" s="2"/>
      <c r="AF69" s="2" t="n">
        <v>8.1</v>
      </c>
      <c r="AG69" s="2" t="n">
        <v>70.8</v>
      </c>
      <c r="AH69" s="2"/>
      <c r="AI69" s="2"/>
      <c r="AJ69" s="2" t="n">
        <v>0.5</v>
      </c>
      <c r="AK69" s="2" t="n">
        <v>50</v>
      </c>
      <c r="AL69" s="2"/>
      <c r="AM69" s="2"/>
      <c r="AN69" s="2" t="n">
        <v>1.4</v>
      </c>
      <c r="AO69" s="2"/>
      <c r="AP69" s="2"/>
      <c r="AQ69" s="2" t="n">
        <v>1.4</v>
      </c>
      <c r="AR69" s="2"/>
      <c r="AS69" s="2" t="n">
        <v>0.5</v>
      </c>
      <c r="AT69" s="2" t="n">
        <v>0.5</v>
      </c>
      <c r="AU69" s="2" t="n">
        <v>0</v>
      </c>
      <c r="AV69" s="2" t="n">
        <v>3.4</v>
      </c>
      <c r="AW69" s="2"/>
      <c r="AX69" s="2"/>
      <c r="AY69" s="2"/>
      <c r="AZ69" s="2"/>
      <c r="BA69" s="2"/>
      <c r="BB69" s="2"/>
      <c r="BC69" s="2"/>
      <c r="BD69" s="4" t="s">
        <v>334</v>
      </c>
    </row>
    <row r="70" customFormat="false" ht="15" hidden="false" customHeight="false" outlineLevel="0" collapsed="false">
      <c r="A70" s="2" t="n">
        <v>2221955</v>
      </c>
      <c r="B70" s="2" t="s">
        <v>335</v>
      </c>
      <c r="C70" s="2" t="s">
        <v>249</v>
      </c>
      <c r="D70" s="2" t="s">
        <v>58</v>
      </c>
      <c r="E70" s="2" t="s">
        <v>59</v>
      </c>
      <c r="F70" s="2" t="s">
        <v>137</v>
      </c>
      <c r="G70" s="2" t="s">
        <v>147</v>
      </c>
      <c r="H70" s="2" t="s">
        <v>147</v>
      </c>
      <c r="I70" s="2" t="n">
        <v>9</v>
      </c>
      <c r="J70" s="2" t="n">
        <v>28</v>
      </c>
      <c r="K70" s="2" t="s">
        <v>336</v>
      </c>
      <c r="L70" s="2" t="s">
        <v>337</v>
      </c>
      <c r="M70" s="2" t="n">
        <v>187</v>
      </c>
      <c r="N70" s="3"/>
      <c r="O70" s="2"/>
      <c r="P70" s="2" t="n">
        <v>3</v>
      </c>
      <c r="Q70" s="3" t="n">
        <v>108</v>
      </c>
      <c r="R70" s="2"/>
      <c r="S70" s="2"/>
      <c r="T70" s="2" t="n">
        <v>1</v>
      </c>
      <c r="U70" s="2" t="n">
        <v>0</v>
      </c>
      <c r="V70" s="2"/>
      <c r="W70" s="2"/>
      <c r="X70" s="2"/>
      <c r="Y70" s="2"/>
      <c r="Z70" s="2"/>
      <c r="AA70" s="2"/>
      <c r="AB70" s="2"/>
      <c r="AC70" s="2" t="n">
        <v>1</v>
      </c>
      <c r="AD70" s="2" t="n">
        <v>0.8</v>
      </c>
      <c r="AE70" s="2" t="n">
        <v>1</v>
      </c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4" t="s">
        <v>338</v>
      </c>
    </row>
    <row r="71" customFormat="false" ht="15" hidden="false" customHeight="false" outlineLevel="0" collapsed="false">
      <c r="A71" s="2" t="n">
        <v>1257960</v>
      </c>
      <c r="B71" s="2" t="s">
        <v>339</v>
      </c>
      <c r="C71" s="2" t="s">
        <v>340</v>
      </c>
      <c r="D71" s="2" t="s">
        <v>341</v>
      </c>
      <c r="E71" s="2" t="s">
        <v>59</v>
      </c>
      <c r="F71" s="2" t="s">
        <v>60</v>
      </c>
      <c r="G71" s="2" t="s">
        <v>61</v>
      </c>
      <c r="H71" s="2" t="s">
        <v>61</v>
      </c>
      <c r="I71" s="2" t="n">
        <v>22</v>
      </c>
      <c r="J71" s="2" t="n">
        <v>28</v>
      </c>
      <c r="K71" s="2" t="s">
        <v>342</v>
      </c>
      <c r="L71" s="2" t="s">
        <v>67</v>
      </c>
      <c r="M71" s="2" t="n">
        <v>185</v>
      </c>
      <c r="N71" s="3" t="n">
        <v>82944</v>
      </c>
      <c r="O71" s="2"/>
      <c r="P71" s="2" t="n">
        <v>14</v>
      </c>
      <c r="Q71" s="3" t="n">
        <v>1260</v>
      </c>
      <c r="R71" s="2" t="n">
        <v>6.11</v>
      </c>
      <c r="S71" s="2" t="n">
        <v>0</v>
      </c>
      <c r="T71" s="2"/>
      <c r="U71" s="2"/>
      <c r="V71" s="2"/>
      <c r="W71" s="2"/>
      <c r="X71" s="2"/>
      <c r="Y71" s="2"/>
      <c r="Z71" s="2"/>
      <c r="AA71" s="2"/>
      <c r="AB71" s="2"/>
      <c r="AC71" s="2" t="n">
        <v>2</v>
      </c>
      <c r="AD71" s="2" t="n">
        <v>0.1</v>
      </c>
      <c r="AE71" s="2"/>
      <c r="AF71" s="2" t="n">
        <v>24.1</v>
      </c>
      <c r="AG71" s="2" t="n">
        <v>78.2</v>
      </c>
      <c r="AH71" s="2"/>
      <c r="AI71" s="2"/>
      <c r="AJ71" s="2"/>
      <c r="AK71" s="2"/>
      <c r="AL71" s="2"/>
      <c r="AM71" s="2"/>
      <c r="AN71" s="2" t="n">
        <v>0.8</v>
      </c>
      <c r="AO71" s="2"/>
      <c r="AP71" s="2"/>
      <c r="AQ71" s="2" t="n">
        <v>0.8</v>
      </c>
      <c r="AR71" s="2"/>
      <c r="AS71" s="2" t="n">
        <v>8.3</v>
      </c>
      <c r="AT71" s="2"/>
      <c r="AU71" s="2"/>
      <c r="AV71" s="2"/>
      <c r="AW71" s="2"/>
      <c r="AX71" s="2"/>
      <c r="AY71" s="2"/>
      <c r="AZ71" s="2" t="n">
        <v>2</v>
      </c>
      <c r="BA71" s="2" t="n">
        <v>1.4</v>
      </c>
      <c r="BB71" s="2" t="n">
        <v>50</v>
      </c>
      <c r="BC71" s="2" t="n">
        <v>1.4</v>
      </c>
      <c r="BD71" s="4" t="s">
        <v>343</v>
      </c>
    </row>
    <row r="72" customFormat="false" ht="15" hidden="false" customHeight="false" outlineLevel="0" collapsed="false">
      <c r="A72" s="2" t="n">
        <v>1082233</v>
      </c>
      <c r="B72" s="2" t="s">
        <v>344</v>
      </c>
      <c r="C72" s="2" t="s">
        <v>340</v>
      </c>
      <c r="D72" s="2" t="s">
        <v>341</v>
      </c>
      <c r="E72" s="2" t="s">
        <v>59</v>
      </c>
      <c r="F72" s="2" t="s">
        <v>60</v>
      </c>
      <c r="G72" s="2" t="s">
        <v>61</v>
      </c>
      <c r="H72" s="2" t="s">
        <v>61</v>
      </c>
      <c r="I72" s="2" t="n">
        <v>1</v>
      </c>
      <c r="J72" s="2" t="n">
        <v>29</v>
      </c>
      <c r="K72" s="2" t="s">
        <v>345</v>
      </c>
      <c r="L72" s="2" t="s">
        <v>346</v>
      </c>
      <c r="M72" s="2" t="n">
        <v>201</v>
      </c>
      <c r="N72" s="3" t="n">
        <v>50000</v>
      </c>
      <c r="O72" s="2"/>
      <c r="P72" s="2" t="n">
        <v>12</v>
      </c>
      <c r="Q72" s="3" t="n">
        <v>1080</v>
      </c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 t="n">
        <v>1</v>
      </c>
      <c r="AX72" s="2"/>
      <c r="AY72" s="2"/>
      <c r="AZ72" s="2" t="n">
        <v>3</v>
      </c>
      <c r="BA72" s="2"/>
      <c r="BB72" s="2"/>
      <c r="BC72" s="2"/>
      <c r="BD72" s="4" t="s">
        <v>347</v>
      </c>
    </row>
    <row r="73" customFormat="false" ht="15" hidden="false" customHeight="false" outlineLevel="0" collapsed="false">
      <c r="A73" s="2" t="n">
        <v>2096676</v>
      </c>
      <c r="B73" s="2" t="s">
        <v>348</v>
      </c>
      <c r="C73" s="2" t="s">
        <v>340</v>
      </c>
      <c r="D73" s="2" t="s">
        <v>341</v>
      </c>
      <c r="E73" s="2" t="s">
        <v>59</v>
      </c>
      <c r="F73" s="2" t="s">
        <v>60</v>
      </c>
      <c r="G73" s="2" t="s">
        <v>61</v>
      </c>
      <c r="H73" s="2" t="s">
        <v>61</v>
      </c>
      <c r="I73" s="2" t="n">
        <v>30</v>
      </c>
      <c r="J73" s="2" t="n">
        <v>25</v>
      </c>
      <c r="K73" s="2" t="s">
        <v>349</v>
      </c>
      <c r="L73" s="2" t="s">
        <v>67</v>
      </c>
      <c r="M73" s="2" t="n">
        <v>191</v>
      </c>
      <c r="N73" s="3"/>
      <c r="O73" s="2"/>
      <c r="P73" s="2"/>
      <c r="Q73" s="3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4" t="s">
        <v>350</v>
      </c>
    </row>
    <row r="74" customFormat="false" ht="15" hidden="false" customHeight="false" outlineLevel="0" collapsed="false">
      <c r="A74" s="2" t="n">
        <v>1302830</v>
      </c>
      <c r="B74" s="2" t="s">
        <v>351</v>
      </c>
      <c r="C74" s="2" t="s">
        <v>340</v>
      </c>
      <c r="D74" s="2" t="s">
        <v>341</v>
      </c>
      <c r="E74" s="2" t="s">
        <v>59</v>
      </c>
      <c r="F74" s="2" t="s">
        <v>70</v>
      </c>
      <c r="G74" s="2" t="s">
        <v>75</v>
      </c>
      <c r="H74" s="2" t="s">
        <v>352</v>
      </c>
      <c r="I74" s="2" t="n">
        <v>24</v>
      </c>
      <c r="J74" s="2" t="n">
        <v>27</v>
      </c>
      <c r="K74" s="2" t="s">
        <v>353</v>
      </c>
      <c r="L74" s="2" t="s">
        <v>67</v>
      </c>
      <c r="M74" s="2" t="n">
        <v>183</v>
      </c>
      <c r="N74" s="3" t="n">
        <v>81614</v>
      </c>
      <c r="O74" s="2"/>
      <c r="P74" s="2" t="n">
        <v>25</v>
      </c>
      <c r="Q74" s="3" t="n">
        <v>2094</v>
      </c>
      <c r="R74" s="2" t="n">
        <v>6.6</v>
      </c>
      <c r="S74" s="2" t="n">
        <v>1</v>
      </c>
      <c r="T74" s="2"/>
      <c r="U74" s="2"/>
      <c r="V74" s="2" t="n">
        <v>2</v>
      </c>
      <c r="W74" s="2"/>
      <c r="X74" s="2"/>
      <c r="Y74" s="2" t="n">
        <v>0.5</v>
      </c>
      <c r="Z74" s="2" t="n">
        <v>0</v>
      </c>
      <c r="AA74" s="2" t="n">
        <v>0</v>
      </c>
      <c r="AB74" s="2" t="n">
        <v>3</v>
      </c>
      <c r="AC74" s="2" t="n">
        <v>7</v>
      </c>
      <c r="AD74" s="2" t="n">
        <v>0.3</v>
      </c>
      <c r="AE74" s="2" t="n">
        <v>3</v>
      </c>
      <c r="AF74" s="2" t="n">
        <v>43.2</v>
      </c>
      <c r="AG74" s="2" t="n">
        <v>83.8</v>
      </c>
      <c r="AH74" s="2" t="n">
        <v>4.3</v>
      </c>
      <c r="AI74" s="2" t="n">
        <v>47.2</v>
      </c>
      <c r="AJ74" s="2" t="n">
        <v>0.2</v>
      </c>
      <c r="AK74" s="2" t="n">
        <v>57.1</v>
      </c>
      <c r="AL74" s="2"/>
      <c r="AM74" s="2"/>
      <c r="AN74" s="2" t="n">
        <v>5.7</v>
      </c>
      <c r="AO74" s="2" t="n">
        <v>0.6</v>
      </c>
      <c r="AP74" s="2" t="n">
        <v>0.8</v>
      </c>
      <c r="AQ74" s="2" t="n">
        <v>3.7</v>
      </c>
      <c r="AR74" s="2" t="n">
        <v>0.6</v>
      </c>
      <c r="AS74" s="2" t="n">
        <v>3.1</v>
      </c>
      <c r="AT74" s="2"/>
      <c r="AU74" s="2"/>
      <c r="AV74" s="2" t="n">
        <v>0.6</v>
      </c>
      <c r="AW74" s="2" t="n">
        <v>1</v>
      </c>
      <c r="AX74" s="2"/>
      <c r="AY74" s="2"/>
      <c r="AZ74" s="2"/>
      <c r="BA74" s="2"/>
      <c r="BB74" s="2"/>
      <c r="BC74" s="2"/>
      <c r="BD74" s="4" t="s">
        <v>354</v>
      </c>
    </row>
    <row r="75" customFormat="false" ht="15" hidden="false" customHeight="false" outlineLevel="0" collapsed="false">
      <c r="A75" s="2" t="n">
        <v>1450959</v>
      </c>
      <c r="B75" s="2" t="s">
        <v>355</v>
      </c>
      <c r="C75" s="2" t="s">
        <v>340</v>
      </c>
      <c r="D75" s="2" t="s">
        <v>341</v>
      </c>
      <c r="E75" s="2" t="s">
        <v>59</v>
      </c>
      <c r="F75" s="2" t="s">
        <v>70</v>
      </c>
      <c r="G75" s="2" t="s">
        <v>92</v>
      </c>
      <c r="H75" s="2" t="s">
        <v>356</v>
      </c>
      <c r="I75" s="2" t="n">
        <v>18</v>
      </c>
      <c r="J75" s="2" t="n">
        <v>25</v>
      </c>
      <c r="K75" s="2" t="s">
        <v>357</v>
      </c>
      <c r="L75" s="2" t="s">
        <v>67</v>
      </c>
      <c r="M75" s="2" t="n">
        <v>175</v>
      </c>
      <c r="N75" s="3" t="n">
        <v>112791</v>
      </c>
      <c r="O75" s="2"/>
      <c r="P75" s="2" t="n">
        <v>21</v>
      </c>
      <c r="Q75" s="3" t="n">
        <v>1775</v>
      </c>
      <c r="R75" s="2" t="n">
        <v>6.88</v>
      </c>
      <c r="S75" s="2" t="n">
        <v>1</v>
      </c>
      <c r="T75" s="2"/>
      <c r="U75" s="2"/>
      <c r="V75" s="2" t="n">
        <v>2</v>
      </c>
      <c r="W75" s="2"/>
      <c r="X75" s="2"/>
      <c r="Y75" s="2" t="n">
        <v>0.9</v>
      </c>
      <c r="Z75" s="2" t="n">
        <v>0.2</v>
      </c>
      <c r="AA75" s="2" t="n">
        <v>0</v>
      </c>
      <c r="AB75" s="2" t="n">
        <v>1</v>
      </c>
      <c r="AC75" s="2" t="n">
        <v>26</v>
      </c>
      <c r="AD75" s="2" t="n">
        <v>1.3</v>
      </c>
      <c r="AE75" s="2" t="n">
        <v>3</v>
      </c>
      <c r="AF75" s="2" t="n">
        <v>34</v>
      </c>
      <c r="AG75" s="2" t="n">
        <v>83.1</v>
      </c>
      <c r="AH75" s="2" t="n">
        <v>2.6</v>
      </c>
      <c r="AI75" s="2" t="n">
        <v>48.6</v>
      </c>
      <c r="AJ75" s="2" t="n">
        <v>0.4</v>
      </c>
      <c r="AK75" s="2" t="n">
        <v>46.7</v>
      </c>
      <c r="AL75" s="2"/>
      <c r="AM75" s="2"/>
      <c r="AN75" s="2" t="n">
        <v>4.3</v>
      </c>
      <c r="AO75" s="2" t="n">
        <v>1</v>
      </c>
      <c r="AP75" s="2" t="n">
        <v>1.3</v>
      </c>
      <c r="AQ75" s="2" t="n">
        <v>1.7</v>
      </c>
      <c r="AR75" s="2" t="n">
        <v>0.3</v>
      </c>
      <c r="AS75" s="2" t="n">
        <v>3.9</v>
      </c>
      <c r="AT75" s="2" t="n">
        <v>0.3</v>
      </c>
      <c r="AU75" s="2" t="n">
        <v>1.7</v>
      </c>
      <c r="AV75" s="2" t="n">
        <v>1.1</v>
      </c>
      <c r="AW75" s="2" t="n">
        <v>3</v>
      </c>
      <c r="AX75" s="2"/>
      <c r="AY75" s="2"/>
      <c r="AZ75" s="2"/>
      <c r="BA75" s="2"/>
      <c r="BB75" s="2"/>
      <c r="BC75" s="2"/>
      <c r="BD75" s="4" t="s">
        <v>358</v>
      </c>
    </row>
    <row r="76" customFormat="false" ht="15" hidden="false" customHeight="false" outlineLevel="0" collapsed="false">
      <c r="A76" s="2" t="n">
        <v>945641</v>
      </c>
      <c r="B76" s="2" t="s">
        <v>359</v>
      </c>
      <c r="C76" s="2" t="s">
        <v>340</v>
      </c>
      <c r="D76" s="2" t="s">
        <v>341</v>
      </c>
      <c r="E76" s="2" t="s">
        <v>59</v>
      </c>
      <c r="F76" s="2" t="s">
        <v>70</v>
      </c>
      <c r="G76" s="2" t="s">
        <v>75</v>
      </c>
      <c r="H76" s="2" t="s">
        <v>352</v>
      </c>
      <c r="I76" s="2" t="n">
        <v>5</v>
      </c>
      <c r="J76" s="2" t="n">
        <v>31</v>
      </c>
      <c r="K76" s="2" t="s">
        <v>360</v>
      </c>
      <c r="L76" s="2" t="s">
        <v>67</v>
      </c>
      <c r="M76" s="2" t="n">
        <v>180</v>
      </c>
      <c r="N76" s="3"/>
      <c r="O76" s="2"/>
      <c r="P76" s="2" t="n">
        <v>23</v>
      </c>
      <c r="Q76" s="3" t="n">
        <v>1610</v>
      </c>
      <c r="R76" s="2" t="n">
        <v>6.65</v>
      </c>
      <c r="S76" s="2" t="n">
        <v>0</v>
      </c>
      <c r="T76" s="2"/>
      <c r="U76" s="2"/>
      <c r="V76" s="2"/>
      <c r="W76" s="2"/>
      <c r="X76" s="2"/>
      <c r="Y76" s="2" t="n">
        <v>0.4</v>
      </c>
      <c r="Z76" s="2" t="n">
        <v>0.1</v>
      </c>
      <c r="AA76" s="2" t="n">
        <v>0</v>
      </c>
      <c r="AB76" s="2" t="n">
        <v>1</v>
      </c>
      <c r="AC76" s="2" t="n">
        <v>7</v>
      </c>
      <c r="AD76" s="2" t="n">
        <v>0.4</v>
      </c>
      <c r="AE76" s="2"/>
      <c r="AF76" s="2" t="n">
        <v>47.7</v>
      </c>
      <c r="AG76" s="2" t="n">
        <v>85.4</v>
      </c>
      <c r="AH76" s="2" t="n">
        <v>3.5</v>
      </c>
      <c r="AI76" s="2" t="n">
        <v>47.3</v>
      </c>
      <c r="AJ76" s="2" t="n">
        <v>0.2</v>
      </c>
      <c r="AK76" s="2" t="n">
        <v>60</v>
      </c>
      <c r="AL76" s="2"/>
      <c r="AM76" s="2"/>
      <c r="AN76" s="2" t="n">
        <v>7.9</v>
      </c>
      <c r="AO76" s="2" t="n">
        <v>1</v>
      </c>
      <c r="AP76" s="2" t="n">
        <v>0.8</v>
      </c>
      <c r="AQ76" s="2" t="n">
        <v>5.6</v>
      </c>
      <c r="AR76" s="2" t="n">
        <v>0.4</v>
      </c>
      <c r="AS76" s="2" t="n">
        <v>3.8</v>
      </c>
      <c r="AT76" s="2" t="n">
        <v>0.2</v>
      </c>
      <c r="AU76" s="2" t="n">
        <v>2.1</v>
      </c>
      <c r="AV76" s="2" t="n">
        <v>0.4</v>
      </c>
      <c r="AW76" s="2"/>
      <c r="AX76" s="2"/>
      <c r="AY76" s="2"/>
      <c r="AZ76" s="2"/>
      <c r="BA76" s="2"/>
      <c r="BB76" s="2"/>
      <c r="BC76" s="2"/>
      <c r="BD76" s="4" t="s">
        <v>361</v>
      </c>
    </row>
    <row r="77" customFormat="false" ht="15" hidden="false" customHeight="false" outlineLevel="0" collapsed="false">
      <c r="A77" s="2" t="n">
        <v>802493</v>
      </c>
      <c r="B77" s="2" t="s">
        <v>362</v>
      </c>
      <c r="C77" s="2" t="s">
        <v>340</v>
      </c>
      <c r="D77" s="2" t="s">
        <v>341</v>
      </c>
      <c r="E77" s="2" t="s">
        <v>59</v>
      </c>
      <c r="F77" s="2" t="s">
        <v>70</v>
      </c>
      <c r="G77" s="2" t="s">
        <v>92</v>
      </c>
      <c r="H77" s="2" t="s">
        <v>356</v>
      </c>
      <c r="I77" s="2" t="n">
        <v>97</v>
      </c>
      <c r="J77" s="2" t="n">
        <v>30</v>
      </c>
      <c r="K77" s="2" t="s">
        <v>363</v>
      </c>
      <c r="L77" s="2" t="s">
        <v>364</v>
      </c>
      <c r="M77" s="2" t="n">
        <v>170</v>
      </c>
      <c r="N77" s="3" t="n">
        <v>72000</v>
      </c>
      <c r="O77" s="2"/>
      <c r="P77" s="2" t="n">
        <v>17</v>
      </c>
      <c r="Q77" s="3" t="n">
        <v>1264</v>
      </c>
      <c r="R77" s="2" t="n">
        <v>6.8</v>
      </c>
      <c r="S77" s="2" t="n">
        <v>0</v>
      </c>
      <c r="T77" s="2"/>
      <c r="U77" s="2"/>
      <c r="V77" s="2"/>
      <c r="W77" s="2"/>
      <c r="X77" s="2"/>
      <c r="Y77" s="2" t="n">
        <v>1.1</v>
      </c>
      <c r="Z77" s="2" t="n">
        <v>0.1</v>
      </c>
      <c r="AA77" s="2" t="n">
        <v>0</v>
      </c>
      <c r="AB77" s="2"/>
      <c r="AC77" s="2" t="n">
        <v>15</v>
      </c>
      <c r="AD77" s="2" t="n">
        <v>1.1</v>
      </c>
      <c r="AE77" s="2" t="n">
        <v>3</v>
      </c>
      <c r="AF77" s="2" t="n">
        <v>24.5</v>
      </c>
      <c r="AG77" s="2" t="n">
        <v>74.3</v>
      </c>
      <c r="AH77" s="2" t="n">
        <v>2.3</v>
      </c>
      <c r="AI77" s="2" t="n">
        <v>33.7</v>
      </c>
      <c r="AJ77" s="2" t="n">
        <v>0.8</v>
      </c>
      <c r="AK77" s="2" t="n">
        <v>61.1</v>
      </c>
      <c r="AL77" s="2"/>
      <c r="AM77" s="2"/>
      <c r="AN77" s="2" t="n">
        <v>5</v>
      </c>
      <c r="AO77" s="2" t="n">
        <v>1.6</v>
      </c>
      <c r="AP77" s="2" t="n">
        <v>1.4</v>
      </c>
      <c r="AQ77" s="2" t="n">
        <v>1.9</v>
      </c>
      <c r="AR77" s="2" t="n">
        <v>0.1</v>
      </c>
      <c r="AS77" s="2" t="n">
        <v>4</v>
      </c>
      <c r="AT77" s="2" t="n">
        <v>0.1</v>
      </c>
      <c r="AU77" s="2" t="n">
        <v>2.2</v>
      </c>
      <c r="AV77" s="2" t="n">
        <v>1.6</v>
      </c>
      <c r="AW77" s="2" t="n">
        <v>5</v>
      </c>
      <c r="AX77" s="2"/>
      <c r="AY77" s="2"/>
      <c r="AZ77" s="2"/>
      <c r="BA77" s="2"/>
      <c r="BB77" s="2"/>
      <c r="BC77" s="2"/>
      <c r="BD77" s="4" t="s">
        <v>365</v>
      </c>
    </row>
    <row r="78" customFormat="false" ht="15" hidden="false" customHeight="false" outlineLevel="0" collapsed="false">
      <c r="A78" s="2" t="n">
        <v>1286428</v>
      </c>
      <c r="B78" s="2" t="s">
        <v>366</v>
      </c>
      <c r="C78" s="2" t="s">
        <v>340</v>
      </c>
      <c r="D78" s="2" t="s">
        <v>341</v>
      </c>
      <c r="E78" s="2" t="s">
        <v>59</v>
      </c>
      <c r="F78" s="2" t="s">
        <v>70</v>
      </c>
      <c r="G78" s="2" t="s">
        <v>75</v>
      </c>
      <c r="H78" s="2" t="s">
        <v>75</v>
      </c>
      <c r="I78" s="2" t="n">
        <v>23</v>
      </c>
      <c r="J78" s="2" t="n">
        <v>26</v>
      </c>
      <c r="K78" s="2" t="s">
        <v>367</v>
      </c>
      <c r="L78" s="2" t="s">
        <v>149</v>
      </c>
      <c r="M78" s="2" t="n">
        <v>186</v>
      </c>
      <c r="N78" s="3" t="n">
        <v>53805</v>
      </c>
      <c r="O78" s="2"/>
      <c r="P78" s="2" t="n">
        <v>17</v>
      </c>
      <c r="Q78" s="3" t="n">
        <v>1199</v>
      </c>
      <c r="R78" s="2" t="n">
        <v>6.69</v>
      </c>
      <c r="S78" s="2" t="n">
        <v>0</v>
      </c>
      <c r="T78" s="2" t="n">
        <v>2</v>
      </c>
      <c r="U78" s="2" t="n">
        <v>0</v>
      </c>
      <c r="V78" s="2"/>
      <c r="W78" s="2"/>
      <c r="X78" s="2" t="n">
        <v>0.15</v>
      </c>
      <c r="Y78" s="2" t="n">
        <v>0.7</v>
      </c>
      <c r="Z78" s="2" t="n">
        <v>0.4</v>
      </c>
      <c r="AA78" s="2" t="n">
        <v>22.2</v>
      </c>
      <c r="AB78" s="2"/>
      <c r="AC78" s="2" t="n">
        <v>5</v>
      </c>
      <c r="AD78" s="2" t="n">
        <v>0.4</v>
      </c>
      <c r="AE78" s="2"/>
      <c r="AF78" s="2" t="n">
        <v>43.2</v>
      </c>
      <c r="AG78" s="2" t="n">
        <v>89</v>
      </c>
      <c r="AH78" s="2" t="n">
        <v>2.6</v>
      </c>
      <c r="AI78" s="2" t="n">
        <v>46.6</v>
      </c>
      <c r="AJ78" s="2" t="n">
        <v>0.2</v>
      </c>
      <c r="AK78" s="2" t="n">
        <v>60</v>
      </c>
      <c r="AL78" s="2"/>
      <c r="AM78" s="2"/>
      <c r="AN78" s="2" t="n">
        <v>6.9</v>
      </c>
      <c r="AO78" s="2" t="n">
        <v>0.8</v>
      </c>
      <c r="AP78" s="2" t="n">
        <v>0.9</v>
      </c>
      <c r="AQ78" s="2" t="n">
        <v>4.7</v>
      </c>
      <c r="AR78" s="2" t="n">
        <v>0.6</v>
      </c>
      <c r="AS78" s="2" t="n">
        <v>3.8</v>
      </c>
      <c r="AT78" s="2" t="n">
        <v>0.1</v>
      </c>
      <c r="AU78" s="2" t="n">
        <v>1.7</v>
      </c>
      <c r="AV78" s="2" t="n">
        <v>1</v>
      </c>
      <c r="AW78" s="2"/>
      <c r="AX78" s="2" t="n">
        <v>1</v>
      </c>
      <c r="AY78" s="2"/>
      <c r="AZ78" s="2"/>
      <c r="BA78" s="2"/>
      <c r="BB78" s="2"/>
      <c r="BC78" s="2"/>
      <c r="BD78" s="4" t="s">
        <v>368</v>
      </c>
    </row>
    <row r="79" customFormat="false" ht="15" hidden="false" customHeight="false" outlineLevel="0" collapsed="false">
      <c r="A79" s="2" t="n">
        <v>1341149</v>
      </c>
      <c r="B79" s="2" t="s">
        <v>369</v>
      </c>
      <c r="C79" s="2" t="s">
        <v>340</v>
      </c>
      <c r="D79" s="2" t="s">
        <v>341</v>
      </c>
      <c r="E79" s="2" t="s">
        <v>59</v>
      </c>
      <c r="F79" s="2" t="s">
        <v>70</v>
      </c>
      <c r="G79" s="2" t="s">
        <v>71</v>
      </c>
      <c r="H79" s="2" t="s">
        <v>71</v>
      </c>
      <c r="I79" s="2" t="n">
        <v>12</v>
      </c>
      <c r="J79" s="2" t="n">
        <v>23</v>
      </c>
      <c r="K79" s="2" t="s">
        <v>370</v>
      </c>
      <c r="L79" s="2" t="s">
        <v>67</v>
      </c>
      <c r="M79" s="2" t="n">
        <v>183</v>
      </c>
      <c r="N79" s="3" t="n">
        <v>79951</v>
      </c>
      <c r="O79" s="2"/>
      <c r="P79" s="2" t="n">
        <v>13</v>
      </c>
      <c r="Q79" s="3" t="n">
        <v>760</v>
      </c>
      <c r="R79" s="2"/>
      <c r="S79" s="2"/>
      <c r="T79" s="2" t="n">
        <v>1</v>
      </c>
      <c r="U79" s="2" t="n">
        <v>0</v>
      </c>
      <c r="V79" s="2" t="n">
        <v>1</v>
      </c>
      <c r="W79" s="2"/>
      <c r="X79" s="2" t="n">
        <v>0.12</v>
      </c>
      <c r="Y79" s="2" t="n">
        <v>0.8</v>
      </c>
      <c r="Z79" s="2" t="n">
        <v>0.2</v>
      </c>
      <c r="AA79" s="2" t="n">
        <v>14.3</v>
      </c>
      <c r="AB79" s="2"/>
      <c r="AC79" s="2" t="n">
        <v>4</v>
      </c>
      <c r="AD79" s="2" t="n">
        <v>0.5</v>
      </c>
      <c r="AE79" s="2" t="n">
        <v>2</v>
      </c>
      <c r="AF79" s="2" t="n">
        <v>25</v>
      </c>
      <c r="AG79" s="2" t="n">
        <v>73</v>
      </c>
      <c r="AH79" s="2" t="n">
        <v>0.8</v>
      </c>
      <c r="AI79" s="2" t="n">
        <v>19.4</v>
      </c>
      <c r="AJ79" s="2" t="n">
        <v>0.2</v>
      </c>
      <c r="AK79" s="2" t="n">
        <v>40</v>
      </c>
      <c r="AL79" s="2"/>
      <c r="AM79" s="2"/>
      <c r="AN79" s="2" t="n">
        <v>6.5</v>
      </c>
      <c r="AO79" s="2" t="n">
        <v>2.1</v>
      </c>
      <c r="AP79" s="2" t="n">
        <v>2.1</v>
      </c>
      <c r="AQ79" s="2" t="n">
        <v>2.3</v>
      </c>
      <c r="AR79" s="2"/>
      <c r="AS79" s="2" t="n">
        <v>3.6</v>
      </c>
      <c r="AT79" s="2" t="n">
        <v>0.1</v>
      </c>
      <c r="AU79" s="2" t="n">
        <v>1.3</v>
      </c>
      <c r="AV79" s="2" t="n">
        <v>1.1</v>
      </c>
      <c r="AW79" s="2" t="n">
        <v>3</v>
      </c>
      <c r="AX79" s="2"/>
      <c r="AY79" s="2"/>
      <c r="AZ79" s="2"/>
      <c r="BA79" s="2"/>
      <c r="BB79" s="2"/>
      <c r="BC79" s="2"/>
      <c r="BD79" s="4" t="s">
        <v>371</v>
      </c>
    </row>
    <row r="80" customFormat="false" ht="15" hidden="false" customHeight="false" outlineLevel="0" collapsed="false">
      <c r="A80" s="2" t="n">
        <v>649744</v>
      </c>
      <c r="B80" s="2" t="s">
        <v>372</v>
      </c>
      <c r="C80" s="2" t="s">
        <v>340</v>
      </c>
      <c r="D80" s="2" t="s">
        <v>341</v>
      </c>
      <c r="E80" s="2" t="s">
        <v>59</v>
      </c>
      <c r="F80" s="2" t="s">
        <v>70</v>
      </c>
      <c r="G80" s="2" t="s">
        <v>71</v>
      </c>
      <c r="H80" s="2" t="s">
        <v>373</v>
      </c>
      <c r="I80" s="2" t="n">
        <v>14</v>
      </c>
      <c r="J80" s="2" t="n">
        <v>32</v>
      </c>
      <c r="K80" s="2" t="s">
        <v>374</v>
      </c>
      <c r="L80" s="2" t="s">
        <v>149</v>
      </c>
      <c r="M80" s="2" t="n">
        <v>175</v>
      </c>
      <c r="N80" s="3" t="n">
        <v>50000</v>
      </c>
      <c r="O80" s="2"/>
      <c r="P80" s="2" t="n">
        <v>7</v>
      </c>
      <c r="Q80" s="3" t="n">
        <v>441</v>
      </c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 t="n">
        <v>4</v>
      </c>
      <c r="AD80" s="2" t="n">
        <v>0.8</v>
      </c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 t="n">
        <v>1</v>
      </c>
      <c r="AX80" s="2"/>
      <c r="AY80" s="2"/>
      <c r="AZ80" s="2"/>
      <c r="BA80" s="2"/>
      <c r="BB80" s="2"/>
      <c r="BC80" s="2"/>
      <c r="BD80" s="4" t="s">
        <v>375</v>
      </c>
    </row>
    <row r="81" customFormat="false" ht="15" hidden="false" customHeight="false" outlineLevel="0" collapsed="false">
      <c r="A81" s="2" t="n">
        <v>1899033</v>
      </c>
      <c r="B81" s="2" t="s">
        <v>376</v>
      </c>
      <c r="C81" s="2" t="s">
        <v>340</v>
      </c>
      <c r="D81" s="2" t="s">
        <v>341</v>
      </c>
      <c r="E81" s="2" t="s">
        <v>59</v>
      </c>
      <c r="F81" s="2" t="s">
        <v>70</v>
      </c>
      <c r="G81" s="2" t="s">
        <v>92</v>
      </c>
      <c r="H81" s="2" t="s">
        <v>276</v>
      </c>
      <c r="I81" s="2" t="n">
        <v>3</v>
      </c>
      <c r="J81" s="2" t="n">
        <v>21</v>
      </c>
      <c r="K81" s="2" t="s">
        <v>377</v>
      </c>
      <c r="L81" s="2" t="s">
        <v>99</v>
      </c>
      <c r="M81" s="2" t="n">
        <v>185</v>
      </c>
      <c r="N81" s="3"/>
      <c r="O81" s="2"/>
      <c r="P81" s="2" t="n">
        <v>3</v>
      </c>
      <c r="Q81" s="3" t="n">
        <v>257</v>
      </c>
      <c r="R81" s="2"/>
      <c r="S81" s="2"/>
      <c r="T81" s="2"/>
      <c r="U81" s="2"/>
      <c r="V81" s="2" t="n">
        <v>1</v>
      </c>
      <c r="W81" s="2"/>
      <c r="X81" s="2"/>
      <c r="Y81" s="2"/>
      <c r="Z81" s="2"/>
      <c r="AA81" s="2"/>
      <c r="AB81" s="2" t="n">
        <v>2</v>
      </c>
      <c r="AC81" s="2" t="n">
        <v>2</v>
      </c>
      <c r="AD81" s="2" t="n">
        <v>0.7</v>
      </c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4" t="s">
        <v>378</v>
      </c>
    </row>
    <row r="82" customFormat="false" ht="15" hidden="false" customHeight="false" outlineLevel="0" collapsed="false">
      <c r="A82" s="2" t="n">
        <v>1520240</v>
      </c>
      <c r="B82" s="2" t="s">
        <v>379</v>
      </c>
      <c r="C82" s="2" t="s">
        <v>340</v>
      </c>
      <c r="D82" s="2" t="s">
        <v>341</v>
      </c>
      <c r="E82" s="2" t="s">
        <v>59</v>
      </c>
      <c r="F82" s="2" t="s">
        <v>102</v>
      </c>
      <c r="G82" s="2" t="s">
        <v>113</v>
      </c>
      <c r="H82" s="2" t="s">
        <v>380</v>
      </c>
      <c r="I82" s="2" t="n">
        <v>37</v>
      </c>
      <c r="J82" s="2" t="n">
        <v>26</v>
      </c>
      <c r="K82" s="2" t="s">
        <v>381</v>
      </c>
      <c r="L82" s="2" t="s">
        <v>67</v>
      </c>
      <c r="M82" s="2" t="n">
        <v>175</v>
      </c>
      <c r="N82" s="3" t="n">
        <v>67094</v>
      </c>
      <c r="O82" s="2"/>
      <c r="P82" s="2" t="n">
        <v>25</v>
      </c>
      <c r="Q82" s="3" t="n">
        <v>1686</v>
      </c>
      <c r="R82" s="2" t="n">
        <v>6.98</v>
      </c>
      <c r="S82" s="2" t="n">
        <v>0</v>
      </c>
      <c r="T82" s="2" t="n">
        <v>1</v>
      </c>
      <c r="U82" s="2" t="n">
        <v>0</v>
      </c>
      <c r="V82" s="2"/>
      <c r="W82" s="2"/>
      <c r="X82" s="2" t="n">
        <v>0.05</v>
      </c>
      <c r="Y82" s="2" t="n">
        <v>1</v>
      </c>
      <c r="Z82" s="2" t="n">
        <v>0.2</v>
      </c>
      <c r="AA82" s="2" t="n">
        <v>5.6</v>
      </c>
      <c r="AB82" s="2"/>
      <c r="AC82" s="2" t="n">
        <v>30</v>
      </c>
      <c r="AD82" s="2" t="n">
        <v>1.6</v>
      </c>
      <c r="AE82" s="2" t="n">
        <v>3</v>
      </c>
      <c r="AF82" s="2" t="n">
        <v>33.1</v>
      </c>
      <c r="AG82" s="2" t="n">
        <v>80.5</v>
      </c>
      <c r="AH82" s="2" t="n">
        <v>1.3</v>
      </c>
      <c r="AI82" s="2" t="n">
        <v>36.9</v>
      </c>
      <c r="AJ82" s="2" t="n">
        <v>0.3</v>
      </c>
      <c r="AK82" s="2" t="n">
        <v>50</v>
      </c>
      <c r="AL82" s="2"/>
      <c r="AM82" s="2"/>
      <c r="AN82" s="2" t="n">
        <v>4.3</v>
      </c>
      <c r="AO82" s="2" t="n">
        <v>1.5</v>
      </c>
      <c r="AP82" s="2" t="n">
        <v>1.5</v>
      </c>
      <c r="AQ82" s="2" t="n">
        <v>1.1</v>
      </c>
      <c r="AR82" s="2" t="n">
        <v>0.2</v>
      </c>
      <c r="AS82" s="2" t="n">
        <v>3.3</v>
      </c>
      <c r="AT82" s="2" t="n">
        <v>0.4</v>
      </c>
      <c r="AU82" s="2" t="n">
        <v>2</v>
      </c>
      <c r="AV82" s="2" t="n">
        <v>1.2</v>
      </c>
      <c r="AW82" s="2" t="n">
        <v>6</v>
      </c>
      <c r="AX82" s="2"/>
      <c r="AY82" s="2"/>
      <c r="AZ82" s="2"/>
      <c r="BA82" s="2"/>
      <c r="BB82" s="2"/>
      <c r="BC82" s="2"/>
      <c r="BD82" s="4" t="s">
        <v>382</v>
      </c>
    </row>
    <row r="83" customFormat="false" ht="15" hidden="false" customHeight="false" outlineLevel="0" collapsed="false">
      <c r="A83" s="2" t="n">
        <v>1026083</v>
      </c>
      <c r="B83" s="2" t="s">
        <v>383</v>
      </c>
      <c r="C83" s="2" t="s">
        <v>340</v>
      </c>
      <c r="D83" s="2" t="s">
        <v>341</v>
      </c>
      <c r="E83" s="2" t="s">
        <v>59</v>
      </c>
      <c r="F83" s="2" t="s">
        <v>102</v>
      </c>
      <c r="G83" s="2" t="s">
        <v>133</v>
      </c>
      <c r="H83" s="2" t="s">
        <v>384</v>
      </c>
      <c r="I83" s="2" t="n">
        <v>10</v>
      </c>
      <c r="J83" s="2" t="n">
        <v>30</v>
      </c>
      <c r="K83" s="2" t="s">
        <v>385</v>
      </c>
      <c r="L83" s="2" t="s">
        <v>67</v>
      </c>
      <c r="M83" s="2" t="n">
        <v>180</v>
      </c>
      <c r="N83" s="3" t="n">
        <v>104387</v>
      </c>
      <c r="O83" s="2"/>
      <c r="P83" s="2" t="n">
        <v>23</v>
      </c>
      <c r="Q83" s="3" t="n">
        <v>1508</v>
      </c>
      <c r="R83" s="2" t="n">
        <v>7.2</v>
      </c>
      <c r="S83" s="2" t="n">
        <v>4</v>
      </c>
      <c r="T83" s="2" t="n">
        <v>6</v>
      </c>
      <c r="U83" s="2" t="n">
        <v>0</v>
      </c>
      <c r="V83" s="2" t="n">
        <v>2</v>
      </c>
      <c r="W83" s="2"/>
      <c r="X83" s="2" t="n">
        <v>0.36</v>
      </c>
      <c r="Y83" s="2" t="n">
        <v>3.6</v>
      </c>
      <c r="Z83" s="2" t="n">
        <v>1</v>
      </c>
      <c r="AA83" s="2" t="n">
        <v>10</v>
      </c>
      <c r="AB83" s="2" t="n">
        <v>4</v>
      </c>
      <c r="AC83" s="2" t="n">
        <v>54</v>
      </c>
      <c r="AD83" s="2" t="n">
        <v>3.2</v>
      </c>
      <c r="AE83" s="2" t="n">
        <v>3</v>
      </c>
      <c r="AF83" s="2" t="n">
        <v>18.8</v>
      </c>
      <c r="AG83" s="2" t="n">
        <v>75</v>
      </c>
      <c r="AH83" s="2" t="n">
        <v>0.8</v>
      </c>
      <c r="AI83" s="2" t="n">
        <v>50</v>
      </c>
      <c r="AJ83" s="2" t="n">
        <v>1.7</v>
      </c>
      <c r="AK83" s="2" t="n">
        <v>51.9</v>
      </c>
      <c r="AL83" s="2"/>
      <c r="AM83" s="2"/>
      <c r="AN83" s="2" t="n">
        <v>2</v>
      </c>
      <c r="AO83" s="2" t="n">
        <v>1.1</v>
      </c>
      <c r="AP83" s="2" t="n">
        <v>0.4</v>
      </c>
      <c r="AQ83" s="2" t="n">
        <v>0.4</v>
      </c>
      <c r="AR83" s="2" t="n">
        <v>0.1</v>
      </c>
      <c r="AS83" s="2" t="n">
        <v>3.5</v>
      </c>
      <c r="AT83" s="2" t="n">
        <v>1</v>
      </c>
      <c r="AU83" s="2" t="n">
        <v>2</v>
      </c>
      <c r="AV83" s="2" t="n">
        <v>1.3</v>
      </c>
      <c r="AW83" s="2" t="n">
        <v>2</v>
      </c>
      <c r="AX83" s="2"/>
      <c r="AY83" s="2"/>
      <c r="AZ83" s="2"/>
      <c r="BA83" s="2"/>
      <c r="BB83" s="2"/>
      <c r="BC83" s="2"/>
      <c r="BD83" s="4" t="s">
        <v>386</v>
      </c>
    </row>
    <row r="84" customFormat="false" ht="15" hidden="false" customHeight="false" outlineLevel="0" collapsed="false">
      <c r="A84" s="2" t="n">
        <v>1269365</v>
      </c>
      <c r="B84" s="2" t="s">
        <v>387</v>
      </c>
      <c r="C84" s="2" t="s">
        <v>340</v>
      </c>
      <c r="D84" s="2" t="s">
        <v>341</v>
      </c>
      <c r="E84" s="2" t="s">
        <v>59</v>
      </c>
      <c r="F84" s="2" t="s">
        <v>102</v>
      </c>
      <c r="G84" s="2" t="s">
        <v>103</v>
      </c>
      <c r="H84" s="2" t="s">
        <v>123</v>
      </c>
      <c r="I84" s="2" t="n">
        <v>6</v>
      </c>
      <c r="J84" s="2" t="n">
        <v>21</v>
      </c>
      <c r="K84" s="2" t="s">
        <v>388</v>
      </c>
      <c r="L84" s="2" t="s">
        <v>67</v>
      </c>
      <c r="M84" s="2" t="n">
        <v>178</v>
      </c>
      <c r="N84" s="3" t="n">
        <v>268564</v>
      </c>
      <c r="O84" s="2"/>
      <c r="P84" s="2" t="n">
        <v>22</v>
      </c>
      <c r="Q84" s="3" t="n">
        <v>1445</v>
      </c>
      <c r="R84" s="2" t="n">
        <v>7.04</v>
      </c>
      <c r="S84" s="2" t="n">
        <v>0</v>
      </c>
      <c r="T84" s="2"/>
      <c r="U84" s="2"/>
      <c r="V84" s="2" t="n">
        <v>3</v>
      </c>
      <c r="W84" s="2"/>
      <c r="X84" s="2"/>
      <c r="Y84" s="2" t="n">
        <v>0.7</v>
      </c>
      <c r="Z84" s="2" t="n">
        <v>0.2</v>
      </c>
      <c r="AA84" s="2" t="n">
        <v>0</v>
      </c>
      <c r="AB84" s="2"/>
      <c r="AC84" s="2" t="n">
        <v>31</v>
      </c>
      <c r="AD84" s="2" t="n">
        <v>1.9</v>
      </c>
      <c r="AE84" s="2" t="n">
        <v>2</v>
      </c>
      <c r="AF84" s="2" t="n">
        <v>41.6</v>
      </c>
      <c r="AG84" s="2" t="n">
        <v>87.1</v>
      </c>
      <c r="AH84" s="2" t="n">
        <v>1.6</v>
      </c>
      <c r="AI84" s="2" t="n">
        <v>50</v>
      </c>
      <c r="AJ84" s="2" t="n">
        <v>0.3</v>
      </c>
      <c r="AK84" s="2" t="n">
        <v>71.4</v>
      </c>
      <c r="AL84" s="2"/>
      <c r="AM84" s="2"/>
      <c r="AN84" s="2" t="n">
        <v>3.9</v>
      </c>
      <c r="AO84" s="2" t="n">
        <v>1.1</v>
      </c>
      <c r="AP84" s="2" t="n">
        <v>1</v>
      </c>
      <c r="AQ84" s="2" t="n">
        <v>1.3</v>
      </c>
      <c r="AR84" s="2" t="n">
        <v>0.5</v>
      </c>
      <c r="AS84" s="2" t="n">
        <v>4.4</v>
      </c>
      <c r="AT84" s="2" t="n">
        <v>0.4</v>
      </c>
      <c r="AU84" s="2" t="n">
        <v>2.7</v>
      </c>
      <c r="AV84" s="2" t="n">
        <v>0.7</v>
      </c>
      <c r="AW84" s="2" t="n">
        <v>1</v>
      </c>
      <c r="AX84" s="2"/>
      <c r="AY84" s="2"/>
      <c r="AZ84" s="2"/>
      <c r="BA84" s="2"/>
      <c r="BB84" s="2"/>
      <c r="BC84" s="2"/>
      <c r="BD84" s="4" t="s">
        <v>389</v>
      </c>
    </row>
    <row r="85" customFormat="false" ht="15" hidden="false" customHeight="false" outlineLevel="0" collapsed="false">
      <c r="A85" s="2" t="n">
        <v>1252846</v>
      </c>
      <c r="B85" s="2" t="s">
        <v>390</v>
      </c>
      <c r="C85" s="2" t="s">
        <v>340</v>
      </c>
      <c r="D85" s="2" t="s">
        <v>341</v>
      </c>
      <c r="E85" s="2" t="s">
        <v>59</v>
      </c>
      <c r="F85" s="2" t="s">
        <v>102</v>
      </c>
      <c r="G85" s="2" t="s">
        <v>103</v>
      </c>
      <c r="H85" s="2" t="s">
        <v>204</v>
      </c>
      <c r="I85" s="2" t="n">
        <v>8</v>
      </c>
      <c r="J85" s="2" t="n">
        <v>25</v>
      </c>
      <c r="K85" s="2" t="s">
        <v>391</v>
      </c>
      <c r="L85" s="2" t="s">
        <v>392</v>
      </c>
      <c r="M85" s="2" t="n">
        <v>163</v>
      </c>
      <c r="N85" s="3" t="n">
        <v>94400</v>
      </c>
      <c r="O85" s="2"/>
      <c r="P85" s="2" t="n">
        <v>21</v>
      </c>
      <c r="Q85" s="3" t="n">
        <v>1028</v>
      </c>
      <c r="R85" s="2" t="n">
        <v>6.64</v>
      </c>
      <c r="S85" s="2" t="n">
        <v>0</v>
      </c>
      <c r="T85" s="2"/>
      <c r="U85" s="2"/>
      <c r="V85" s="2" t="n">
        <v>2</v>
      </c>
      <c r="W85" s="2"/>
      <c r="X85" s="2"/>
      <c r="Y85" s="2" t="n">
        <v>1.2</v>
      </c>
      <c r="Z85" s="2" t="n">
        <v>0.2</v>
      </c>
      <c r="AA85" s="2" t="n">
        <v>0</v>
      </c>
      <c r="AB85" s="2"/>
      <c r="AC85" s="2" t="n">
        <v>4</v>
      </c>
      <c r="AD85" s="2" t="n">
        <v>0.4</v>
      </c>
      <c r="AE85" s="2" t="n">
        <v>1</v>
      </c>
      <c r="AF85" s="2" t="n">
        <v>37.1</v>
      </c>
      <c r="AG85" s="2" t="n">
        <v>90.4</v>
      </c>
      <c r="AH85" s="2" t="n">
        <v>1.6</v>
      </c>
      <c r="AI85" s="2" t="n">
        <v>64.3</v>
      </c>
      <c r="AJ85" s="2" t="n">
        <v>0.6</v>
      </c>
      <c r="AK85" s="2" t="n">
        <v>46.7</v>
      </c>
      <c r="AL85" s="2"/>
      <c r="AM85" s="2"/>
      <c r="AN85" s="2" t="n">
        <v>3.3</v>
      </c>
      <c r="AO85" s="2" t="n">
        <v>1.6</v>
      </c>
      <c r="AP85" s="2" t="n">
        <v>1.2</v>
      </c>
      <c r="AQ85" s="2" t="n">
        <v>0.4</v>
      </c>
      <c r="AR85" s="2" t="n">
        <v>0.1</v>
      </c>
      <c r="AS85" s="2" t="n">
        <v>5.4</v>
      </c>
      <c r="AT85" s="2" t="n">
        <v>0.6</v>
      </c>
      <c r="AU85" s="2" t="n">
        <v>3.2</v>
      </c>
      <c r="AV85" s="2" t="n">
        <v>1.2</v>
      </c>
      <c r="AW85" s="2" t="n">
        <v>1</v>
      </c>
      <c r="AX85" s="2"/>
      <c r="AY85" s="2"/>
      <c r="AZ85" s="2"/>
      <c r="BA85" s="2"/>
      <c r="BB85" s="2"/>
      <c r="BC85" s="2"/>
      <c r="BD85" s="4" t="s">
        <v>393</v>
      </c>
    </row>
    <row r="86" customFormat="false" ht="15" hidden="false" customHeight="false" outlineLevel="0" collapsed="false">
      <c r="A86" s="2" t="n">
        <v>671835</v>
      </c>
      <c r="B86" s="2" t="s">
        <v>394</v>
      </c>
      <c r="C86" s="2" t="s">
        <v>340</v>
      </c>
      <c r="D86" s="2" t="s">
        <v>341</v>
      </c>
      <c r="E86" s="2" t="s">
        <v>59</v>
      </c>
      <c r="F86" s="2" t="s">
        <v>102</v>
      </c>
      <c r="G86" s="2" t="s">
        <v>103</v>
      </c>
      <c r="H86" s="2" t="s">
        <v>123</v>
      </c>
      <c r="I86" s="2" t="n">
        <v>80</v>
      </c>
      <c r="J86" s="2" t="n">
        <v>34</v>
      </c>
      <c r="K86" s="2" t="s">
        <v>395</v>
      </c>
      <c r="L86" s="2" t="s">
        <v>85</v>
      </c>
      <c r="M86" s="2" t="n">
        <v>173</v>
      </c>
      <c r="N86" s="3" t="n">
        <v>82944</v>
      </c>
      <c r="O86" s="2"/>
      <c r="P86" s="2" t="n">
        <v>14</v>
      </c>
      <c r="Q86" s="3" t="n">
        <v>793</v>
      </c>
      <c r="R86" s="2" t="n">
        <v>6.63</v>
      </c>
      <c r="S86" s="2" t="n">
        <v>0</v>
      </c>
      <c r="T86" s="2"/>
      <c r="U86" s="2"/>
      <c r="V86" s="2"/>
      <c r="W86" s="2"/>
      <c r="X86" s="2"/>
      <c r="Y86" s="2" t="n">
        <v>1</v>
      </c>
      <c r="Z86" s="2" t="n">
        <v>0.1</v>
      </c>
      <c r="AA86" s="2" t="n">
        <v>0</v>
      </c>
      <c r="AB86" s="2"/>
      <c r="AC86" s="2" t="n">
        <v>5</v>
      </c>
      <c r="AD86" s="2" t="n">
        <v>0.6</v>
      </c>
      <c r="AE86" s="2"/>
      <c r="AF86" s="2" t="n">
        <v>43.6</v>
      </c>
      <c r="AG86" s="2" t="n">
        <v>89.1</v>
      </c>
      <c r="AH86" s="2" t="n">
        <v>2.4</v>
      </c>
      <c r="AI86" s="2" t="n">
        <v>75</v>
      </c>
      <c r="AJ86" s="2" t="n">
        <v>0.3</v>
      </c>
      <c r="AK86" s="2" t="n">
        <v>60</v>
      </c>
      <c r="AL86" s="2"/>
      <c r="AM86" s="2"/>
      <c r="AN86" s="2" t="n">
        <v>2.4</v>
      </c>
      <c r="AO86" s="2" t="n">
        <v>0.7</v>
      </c>
      <c r="AP86" s="2" t="n">
        <v>0.5</v>
      </c>
      <c r="AQ86" s="2" t="n">
        <v>1</v>
      </c>
      <c r="AR86" s="2" t="n">
        <v>0.2</v>
      </c>
      <c r="AS86" s="2" t="n">
        <v>4.2</v>
      </c>
      <c r="AT86" s="2" t="n">
        <v>0.1</v>
      </c>
      <c r="AU86" s="2" t="n">
        <v>2.7</v>
      </c>
      <c r="AV86" s="2" t="n">
        <v>1.2</v>
      </c>
      <c r="AW86" s="2" t="n">
        <v>2</v>
      </c>
      <c r="AX86" s="2"/>
      <c r="AY86" s="2"/>
      <c r="AZ86" s="2"/>
      <c r="BA86" s="2"/>
      <c r="BB86" s="2"/>
      <c r="BC86" s="2"/>
      <c r="BD86" s="4" t="s">
        <v>396</v>
      </c>
    </row>
    <row r="87" customFormat="false" ht="15" hidden="false" customHeight="false" outlineLevel="0" collapsed="false">
      <c r="A87" s="2" t="n">
        <v>1252220</v>
      </c>
      <c r="B87" s="2" t="s">
        <v>397</v>
      </c>
      <c r="C87" s="2" t="s">
        <v>340</v>
      </c>
      <c r="D87" s="2" t="s">
        <v>341</v>
      </c>
      <c r="E87" s="2" t="s">
        <v>59</v>
      </c>
      <c r="F87" s="2" t="s">
        <v>102</v>
      </c>
      <c r="G87" s="2" t="s">
        <v>103</v>
      </c>
      <c r="H87" s="2" t="s">
        <v>204</v>
      </c>
      <c r="I87" s="2" t="n">
        <v>13</v>
      </c>
      <c r="J87" s="2" t="n">
        <v>30</v>
      </c>
      <c r="K87" s="2" t="s">
        <v>398</v>
      </c>
      <c r="L87" s="2" t="s">
        <v>214</v>
      </c>
      <c r="M87" s="2" t="n">
        <v>175</v>
      </c>
      <c r="N87" s="3" t="n">
        <v>59349</v>
      </c>
      <c r="O87" s="2"/>
      <c r="P87" s="2" t="n">
        <v>14</v>
      </c>
      <c r="Q87" s="3" t="n">
        <v>510</v>
      </c>
      <c r="R87" s="2"/>
      <c r="S87" s="2"/>
      <c r="T87" s="2"/>
      <c r="U87" s="2"/>
      <c r="V87" s="2" t="n">
        <v>1</v>
      </c>
      <c r="W87" s="2"/>
      <c r="X87" s="2"/>
      <c r="Y87" s="2" t="n">
        <v>0.5</v>
      </c>
      <c r="Z87" s="2" t="n">
        <v>0.2</v>
      </c>
      <c r="AA87" s="2" t="n">
        <v>0</v>
      </c>
      <c r="AB87" s="2"/>
      <c r="AC87" s="2" t="n">
        <v>5</v>
      </c>
      <c r="AD87" s="2" t="n">
        <v>0.9</v>
      </c>
      <c r="AE87" s="2"/>
      <c r="AF87" s="2" t="n">
        <v>27.4</v>
      </c>
      <c r="AG87" s="2" t="n">
        <v>83.8</v>
      </c>
      <c r="AH87" s="2" t="n">
        <v>0.9</v>
      </c>
      <c r="AI87" s="2" t="n">
        <v>33.3</v>
      </c>
      <c r="AJ87" s="2" t="n">
        <v>0.4</v>
      </c>
      <c r="AK87" s="2" t="n">
        <v>40</v>
      </c>
      <c r="AL87" s="2"/>
      <c r="AM87" s="2"/>
      <c r="AN87" s="2" t="n">
        <v>3.9</v>
      </c>
      <c r="AO87" s="2" t="n">
        <v>1.8</v>
      </c>
      <c r="AP87" s="2" t="n">
        <v>1.1</v>
      </c>
      <c r="AQ87" s="2" t="n">
        <v>1.1</v>
      </c>
      <c r="AR87" s="2"/>
      <c r="AS87" s="2" t="n">
        <v>3.2</v>
      </c>
      <c r="AT87" s="2" t="n">
        <v>0.5</v>
      </c>
      <c r="AU87" s="2" t="n">
        <v>1.9</v>
      </c>
      <c r="AV87" s="2" t="n">
        <v>1.2</v>
      </c>
      <c r="AW87" s="2" t="n">
        <v>1</v>
      </c>
      <c r="AX87" s="2"/>
      <c r="AY87" s="2"/>
      <c r="AZ87" s="2"/>
      <c r="BA87" s="2"/>
      <c r="BB87" s="2"/>
      <c r="BC87" s="2"/>
      <c r="BD87" s="4" t="s">
        <v>399</v>
      </c>
    </row>
    <row r="88" customFormat="false" ht="15" hidden="false" customHeight="false" outlineLevel="0" collapsed="false">
      <c r="A88" s="2" t="n">
        <v>1058359</v>
      </c>
      <c r="B88" s="2" t="s">
        <v>400</v>
      </c>
      <c r="C88" s="2" t="s">
        <v>340</v>
      </c>
      <c r="D88" s="2" t="s">
        <v>341</v>
      </c>
      <c r="E88" s="2" t="s">
        <v>59</v>
      </c>
      <c r="F88" s="2" t="s">
        <v>102</v>
      </c>
      <c r="G88" s="2" t="s">
        <v>113</v>
      </c>
      <c r="H88" s="2" t="s">
        <v>113</v>
      </c>
      <c r="I88" s="2" t="n">
        <v>21</v>
      </c>
      <c r="J88" s="2" t="n">
        <v>27</v>
      </c>
      <c r="K88" s="2" t="s">
        <v>401</v>
      </c>
      <c r="L88" s="2" t="s">
        <v>85</v>
      </c>
      <c r="M88" s="2" t="n">
        <v>180</v>
      </c>
      <c r="N88" s="3" t="n">
        <v>72000</v>
      </c>
      <c r="O88" s="2"/>
      <c r="P88" s="2" t="n">
        <v>10</v>
      </c>
      <c r="Q88" s="3" t="n">
        <v>304</v>
      </c>
      <c r="R88" s="2"/>
      <c r="S88" s="2"/>
      <c r="T88" s="2" t="n">
        <v>1</v>
      </c>
      <c r="U88" s="2" t="n">
        <v>0</v>
      </c>
      <c r="V88" s="2" t="n">
        <v>1</v>
      </c>
      <c r="W88" s="2"/>
      <c r="X88" s="2"/>
      <c r="Y88" s="2"/>
      <c r="Z88" s="2"/>
      <c r="AA88" s="2"/>
      <c r="AB88" s="2"/>
      <c r="AC88" s="2" t="n">
        <v>12</v>
      </c>
      <c r="AD88" s="2" t="n">
        <v>3.6</v>
      </c>
      <c r="AE88" s="2" t="n">
        <v>1</v>
      </c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 t="n">
        <v>1</v>
      </c>
      <c r="AX88" s="2"/>
      <c r="AY88" s="2"/>
      <c r="AZ88" s="2"/>
      <c r="BA88" s="2"/>
      <c r="BB88" s="2"/>
      <c r="BC88" s="2"/>
      <c r="BD88" s="4" t="s">
        <v>402</v>
      </c>
    </row>
    <row r="89" customFormat="false" ht="15" hidden="false" customHeight="false" outlineLevel="0" collapsed="false">
      <c r="A89" s="2" t="n">
        <v>1921662</v>
      </c>
      <c r="B89" s="2" t="s">
        <v>403</v>
      </c>
      <c r="C89" s="2" t="s">
        <v>340</v>
      </c>
      <c r="D89" s="2" t="s">
        <v>341</v>
      </c>
      <c r="E89" s="2" t="s">
        <v>59</v>
      </c>
      <c r="F89" s="2" t="s">
        <v>102</v>
      </c>
      <c r="G89" s="2" t="s">
        <v>404</v>
      </c>
      <c r="H89" s="2" t="s">
        <v>404</v>
      </c>
      <c r="I89" s="2" t="n">
        <v>51</v>
      </c>
      <c r="J89" s="2" t="n">
        <v>18</v>
      </c>
      <c r="K89" s="2" t="s">
        <v>405</v>
      </c>
      <c r="L89" s="2" t="s">
        <v>67</v>
      </c>
      <c r="M89" s="2" t="n">
        <v>168</v>
      </c>
      <c r="N89" s="3"/>
      <c r="O89" s="2"/>
      <c r="P89" s="2"/>
      <c r="Q89" s="3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4" t="s">
        <v>406</v>
      </c>
    </row>
    <row r="90" customFormat="false" ht="15" hidden="false" customHeight="false" outlineLevel="0" collapsed="false">
      <c r="A90" s="2" t="n">
        <v>940300</v>
      </c>
      <c r="B90" s="2" t="s">
        <v>407</v>
      </c>
      <c r="C90" s="2" t="s">
        <v>340</v>
      </c>
      <c r="D90" s="2" t="s">
        <v>341</v>
      </c>
      <c r="E90" s="2" t="s">
        <v>59</v>
      </c>
      <c r="F90" s="2" t="s">
        <v>137</v>
      </c>
      <c r="G90" s="2" t="s">
        <v>147</v>
      </c>
      <c r="H90" s="2" t="s">
        <v>147</v>
      </c>
      <c r="I90" s="2" t="n">
        <v>90</v>
      </c>
      <c r="J90" s="2" t="n">
        <v>28</v>
      </c>
      <c r="K90" s="2" t="s">
        <v>408</v>
      </c>
      <c r="L90" s="2" t="s">
        <v>85</v>
      </c>
      <c r="M90" s="2" t="n">
        <v>183</v>
      </c>
      <c r="N90" s="3" t="n">
        <v>72000</v>
      </c>
      <c r="O90" s="2"/>
      <c r="P90" s="2" t="n">
        <v>25</v>
      </c>
      <c r="Q90" s="3" t="n">
        <v>2098</v>
      </c>
      <c r="R90" s="2" t="n">
        <v>6.93</v>
      </c>
      <c r="S90" s="2" t="n">
        <v>2</v>
      </c>
      <c r="T90" s="2" t="n">
        <v>14</v>
      </c>
      <c r="U90" s="2" t="n">
        <v>6</v>
      </c>
      <c r="V90" s="2"/>
      <c r="W90" s="2"/>
      <c r="X90" s="2" t="n">
        <v>0.6</v>
      </c>
      <c r="Y90" s="2" t="n">
        <v>3</v>
      </c>
      <c r="Z90" s="2" t="n">
        <v>1</v>
      </c>
      <c r="AA90" s="2" t="n">
        <v>20.3</v>
      </c>
      <c r="AB90" s="2" t="n">
        <v>6</v>
      </c>
      <c r="AC90" s="2" t="n">
        <v>19</v>
      </c>
      <c r="AD90" s="2" t="n">
        <v>0.8</v>
      </c>
      <c r="AE90" s="2" t="n">
        <v>1</v>
      </c>
      <c r="AF90" s="2" t="n">
        <v>7.6</v>
      </c>
      <c r="AG90" s="2" t="n">
        <v>73.3</v>
      </c>
      <c r="AH90" s="2" t="n">
        <v>0.2</v>
      </c>
      <c r="AI90" s="2" t="n">
        <v>36.4</v>
      </c>
      <c r="AJ90" s="2" t="n">
        <v>0.3</v>
      </c>
      <c r="AK90" s="2" t="n">
        <v>31.6</v>
      </c>
      <c r="AL90" s="2" t="n">
        <v>2</v>
      </c>
      <c r="AM90" s="2" t="n">
        <v>1.8</v>
      </c>
      <c r="AN90" s="2" t="n">
        <v>0.9</v>
      </c>
      <c r="AO90" s="2" t="n">
        <v>0.2</v>
      </c>
      <c r="AP90" s="2" t="n">
        <v>0</v>
      </c>
      <c r="AQ90" s="2" t="n">
        <v>0.6</v>
      </c>
      <c r="AR90" s="2" t="n">
        <v>0</v>
      </c>
      <c r="AS90" s="2" t="n">
        <v>1.2</v>
      </c>
      <c r="AT90" s="2" t="n">
        <v>0.7</v>
      </c>
      <c r="AU90" s="2" t="n">
        <v>0.6</v>
      </c>
      <c r="AV90" s="2" t="n">
        <v>1.8</v>
      </c>
      <c r="AW90" s="2" t="n">
        <v>2</v>
      </c>
      <c r="AX90" s="2"/>
      <c r="AY90" s="2"/>
      <c r="AZ90" s="2"/>
      <c r="BA90" s="2"/>
      <c r="BB90" s="2"/>
      <c r="BC90" s="2"/>
      <c r="BD90" s="4" t="s">
        <v>409</v>
      </c>
    </row>
    <row r="91" customFormat="false" ht="15" hidden="false" customHeight="false" outlineLevel="0" collapsed="false">
      <c r="A91" s="2" t="n">
        <v>1886516</v>
      </c>
      <c r="B91" s="2" t="s">
        <v>410</v>
      </c>
      <c r="C91" s="2" t="s">
        <v>340</v>
      </c>
      <c r="D91" s="2" t="s">
        <v>341</v>
      </c>
      <c r="E91" s="2" t="s">
        <v>59</v>
      </c>
      <c r="F91" s="2" t="s">
        <v>137</v>
      </c>
      <c r="G91" s="2" t="s">
        <v>138</v>
      </c>
      <c r="H91" s="2" t="s">
        <v>411</v>
      </c>
      <c r="I91" s="2" t="n">
        <v>17</v>
      </c>
      <c r="J91" s="2" t="n">
        <v>22</v>
      </c>
      <c r="K91" s="2" t="s">
        <v>412</v>
      </c>
      <c r="L91" s="2" t="s">
        <v>413</v>
      </c>
      <c r="M91" s="2" t="n">
        <v>175</v>
      </c>
      <c r="N91" s="3" t="n">
        <v>129838</v>
      </c>
      <c r="O91" s="2"/>
      <c r="P91" s="2" t="n">
        <v>23</v>
      </c>
      <c r="Q91" s="3" t="n">
        <v>988</v>
      </c>
      <c r="R91" s="2" t="n">
        <v>6.62</v>
      </c>
      <c r="S91" s="2" t="n">
        <v>1</v>
      </c>
      <c r="T91" s="2" t="n">
        <v>1</v>
      </c>
      <c r="U91" s="2" t="n">
        <v>0</v>
      </c>
      <c r="V91" s="2" t="n">
        <v>4</v>
      </c>
      <c r="W91" s="2"/>
      <c r="X91" s="2" t="n">
        <v>0.09</v>
      </c>
      <c r="Y91" s="2" t="n">
        <v>2.8</v>
      </c>
      <c r="Z91" s="2" t="n">
        <v>0.3</v>
      </c>
      <c r="AA91" s="2" t="n">
        <v>3.2</v>
      </c>
      <c r="AB91" s="2" t="n">
        <v>1</v>
      </c>
      <c r="AC91" s="2" t="n">
        <v>26</v>
      </c>
      <c r="AD91" s="2" t="n">
        <v>2.4</v>
      </c>
      <c r="AE91" s="2" t="n">
        <v>3</v>
      </c>
      <c r="AF91" s="2" t="n">
        <v>16.4</v>
      </c>
      <c r="AG91" s="2" t="n">
        <v>75</v>
      </c>
      <c r="AH91" s="2" t="n">
        <v>0.6</v>
      </c>
      <c r="AI91" s="2" t="n">
        <v>35</v>
      </c>
      <c r="AJ91" s="2" t="n">
        <v>1.7</v>
      </c>
      <c r="AK91" s="2" t="n">
        <v>36.5</v>
      </c>
      <c r="AL91" s="2" t="n">
        <v>2</v>
      </c>
      <c r="AM91" s="2" t="n">
        <v>1.5</v>
      </c>
      <c r="AN91" s="2" t="n">
        <v>2</v>
      </c>
      <c r="AO91" s="2" t="n">
        <v>1.5</v>
      </c>
      <c r="AP91" s="2" t="n">
        <v>0.2</v>
      </c>
      <c r="AQ91" s="2" t="n">
        <v>0.4</v>
      </c>
      <c r="AR91" s="2"/>
      <c r="AS91" s="2" t="n">
        <v>4.2</v>
      </c>
      <c r="AT91" s="2" t="n">
        <v>1.1</v>
      </c>
      <c r="AU91" s="2" t="n">
        <v>1.9</v>
      </c>
      <c r="AV91" s="2" t="n">
        <v>1.7</v>
      </c>
      <c r="AW91" s="2" t="n">
        <v>5</v>
      </c>
      <c r="AX91" s="2"/>
      <c r="AY91" s="2"/>
      <c r="AZ91" s="2"/>
      <c r="BA91" s="2"/>
      <c r="BB91" s="2"/>
      <c r="BC91" s="2"/>
      <c r="BD91" s="4" t="s">
        <v>414</v>
      </c>
    </row>
    <row r="92" customFormat="false" ht="15" hidden="false" customHeight="false" outlineLevel="0" collapsed="false">
      <c r="A92" s="2" t="n">
        <v>1048898</v>
      </c>
      <c r="B92" s="2" t="s">
        <v>415</v>
      </c>
      <c r="C92" s="2" t="s">
        <v>340</v>
      </c>
      <c r="D92" s="2" t="s">
        <v>341</v>
      </c>
      <c r="E92" s="2" t="s">
        <v>59</v>
      </c>
      <c r="F92" s="2" t="s">
        <v>137</v>
      </c>
      <c r="G92" s="2" t="s">
        <v>147</v>
      </c>
      <c r="H92" s="2" t="s">
        <v>317</v>
      </c>
      <c r="I92" s="2" t="n">
        <v>27</v>
      </c>
      <c r="J92" s="2" t="n">
        <v>29</v>
      </c>
      <c r="K92" s="2" t="s">
        <v>416</v>
      </c>
      <c r="L92" s="2" t="s">
        <v>417</v>
      </c>
      <c r="M92" s="2" t="n">
        <v>170</v>
      </c>
      <c r="N92" s="3" t="n">
        <v>105576</v>
      </c>
      <c r="O92" s="2"/>
      <c r="P92" s="2" t="n">
        <v>22</v>
      </c>
      <c r="Q92" s="3" t="n">
        <v>949</v>
      </c>
      <c r="R92" s="2" t="n">
        <v>6.55</v>
      </c>
      <c r="S92" s="2" t="n">
        <v>1</v>
      </c>
      <c r="T92" s="2" t="n">
        <v>3</v>
      </c>
      <c r="U92" s="2" t="n">
        <v>0</v>
      </c>
      <c r="V92" s="2" t="n">
        <v>1</v>
      </c>
      <c r="W92" s="2"/>
      <c r="X92" s="2" t="n">
        <v>0.28</v>
      </c>
      <c r="Y92" s="2" t="n">
        <v>2.3</v>
      </c>
      <c r="Z92" s="2" t="n">
        <v>0.6</v>
      </c>
      <c r="AA92" s="2" t="n">
        <v>12.5</v>
      </c>
      <c r="AB92" s="2" t="n">
        <v>1</v>
      </c>
      <c r="AC92" s="2" t="n">
        <v>9</v>
      </c>
      <c r="AD92" s="2" t="n">
        <v>0.9</v>
      </c>
      <c r="AE92" s="2" t="n">
        <v>2</v>
      </c>
      <c r="AF92" s="2" t="n">
        <v>15.8</v>
      </c>
      <c r="AG92" s="2" t="n">
        <v>81.1</v>
      </c>
      <c r="AH92" s="2" t="n">
        <v>0.5</v>
      </c>
      <c r="AI92" s="2" t="n">
        <v>55.6</v>
      </c>
      <c r="AJ92" s="2" t="n">
        <v>0.9</v>
      </c>
      <c r="AK92" s="2" t="n">
        <v>43.5</v>
      </c>
      <c r="AL92" s="2"/>
      <c r="AM92" s="2"/>
      <c r="AN92" s="2" t="n">
        <v>2</v>
      </c>
      <c r="AO92" s="2" t="n">
        <v>0.7</v>
      </c>
      <c r="AP92" s="2" t="n">
        <v>0.7</v>
      </c>
      <c r="AQ92" s="2" t="n">
        <v>0.5</v>
      </c>
      <c r="AR92" s="2" t="n">
        <v>0.2</v>
      </c>
      <c r="AS92" s="2" t="n">
        <v>2.3</v>
      </c>
      <c r="AT92" s="2" t="n">
        <v>0.4</v>
      </c>
      <c r="AU92" s="2" t="n">
        <v>1.4</v>
      </c>
      <c r="AV92" s="2" t="n">
        <v>2.6</v>
      </c>
      <c r="AW92" s="2" t="n">
        <v>4</v>
      </c>
      <c r="AX92" s="2"/>
      <c r="AY92" s="2"/>
      <c r="AZ92" s="2"/>
      <c r="BA92" s="2"/>
      <c r="BB92" s="2"/>
      <c r="BC92" s="2"/>
      <c r="BD92" s="4" t="s">
        <v>418</v>
      </c>
    </row>
    <row r="93" customFormat="false" ht="15" hidden="false" customHeight="false" outlineLevel="0" collapsed="false">
      <c r="A93" s="2" t="n">
        <v>538520</v>
      </c>
      <c r="B93" s="2" t="s">
        <v>419</v>
      </c>
      <c r="C93" s="2" t="s">
        <v>340</v>
      </c>
      <c r="D93" s="2" t="s">
        <v>341</v>
      </c>
      <c r="E93" s="2" t="s">
        <v>59</v>
      </c>
      <c r="F93" s="2" t="s">
        <v>137</v>
      </c>
      <c r="G93" s="2" t="s">
        <v>138</v>
      </c>
      <c r="H93" s="2" t="s">
        <v>411</v>
      </c>
      <c r="I93" s="2" t="n">
        <v>7</v>
      </c>
      <c r="J93" s="2" t="n">
        <v>28</v>
      </c>
      <c r="K93" s="2" t="s">
        <v>420</v>
      </c>
      <c r="L93" s="2" t="s">
        <v>421</v>
      </c>
      <c r="M93" s="2" t="n">
        <v>178</v>
      </c>
      <c r="N93" s="3" t="n">
        <v>50000</v>
      </c>
      <c r="O93" s="2"/>
      <c r="P93" s="2" t="n">
        <v>24</v>
      </c>
      <c r="Q93" s="3" t="n">
        <v>931</v>
      </c>
      <c r="R93" s="2" t="n">
        <v>6.87</v>
      </c>
      <c r="S93" s="2" t="n">
        <v>0</v>
      </c>
      <c r="T93" s="2" t="n">
        <v>6</v>
      </c>
      <c r="U93" s="2" t="n">
        <v>0</v>
      </c>
      <c r="V93" s="2"/>
      <c r="W93" s="2"/>
      <c r="X93" s="2" t="n">
        <v>0.58</v>
      </c>
      <c r="Y93" s="2" t="n">
        <v>4.2</v>
      </c>
      <c r="Z93" s="2" t="n">
        <v>1.8</v>
      </c>
      <c r="AA93" s="2" t="n">
        <v>14</v>
      </c>
      <c r="AB93" s="2" t="n">
        <v>5</v>
      </c>
      <c r="AC93" s="2" t="n">
        <v>12</v>
      </c>
      <c r="AD93" s="2" t="n">
        <v>1.2</v>
      </c>
      <c r="AE93" s="2"/>
      <c r="AF93" s="2" t="n">
        <v>16.2</v>
      </c>
      <c r="AG93" s="2" t="n">
        <v>77.4</v>
      </c>
      <c r="AH93" s="2" t="n">
        <v>0.9</v>
      </c>
      <c r="AI93" s="2" t="n">
        <v>52.9</v>
      </c>
      <c r="AJ93" s="2" t="n">
        <v>1.6</v>
      </c>
      <c r="AK93" s="2" t="n">
        <v>37.8</v>
      </c>
      <c r="AL93" s="2" t="n">
        <v>1</v>
      </c>
      <c r="AM93" s="2" t="n">
        <v>3.5</v>
      </c>
      <c r="AN93" s="2" t="n">
        <v>2.7</v>
      </c>
      <c r="AO93" s="2" t="n">
        <v>1.7</v>
      </c>
      <c r="AP93" s="2" t="n">
        <v>0.4</v>
      </c>
      <c r="AQ93" s="2" t="n">
        <v>0.6</v>
      </c>
      <c r="AR93" s="2"/>
      <c r="AS93" s="2" t="n">
        <v>3.4</v>
      </c>
      <c r="AT93" s="2" t="n">
        <v>0.8</v>
      </c>
      <c r="AU93" s="2" t="n">
        <v>1.9</v>
      </c>
      <c r="AV93" s="2" t="n">
        <v>1.5</v>
      </c>
      <c r="AW93" s="2"/>
      <c r="AX93" s="2"/>
      <c r="AY93" s="2"/>
      <c r="AZ93" s="2"/>
      <c r="BA93" s="2"/>
      <c r="BB93" s="2"/>
      <c r="BC93" s="2"/>
      <c r="BD93" s="4" t="s">
        <v>422</v>
      </c>
    </row>
    <row r="94" customFormat="false" ht="15" hidden="false" customHeight="false" outlineLevel="0" collapsed="false">
      <c r="A94" s="2" t="n">
        <v>1348316</v>
      </c>
      <c r="B94" s="2" t="s">
        <v>423</v>
      </c>
      <c r="C94" s="2" t="s">
        <v>340</v>
      </c>
      <c r="D94" s="2" t="s">
        <v>341</v>
      </c>
      <c r="E94" s="2" t="s">
        <v>59</v>
      </c>
      <c r="F94" s="2" t="s">
        <v>137</v>
      </c>
      <c r="G94" s="2" t="s">
        <v>138</v>
      </c>
      <c r="H94" s="2" t="s">
        <v>411</v>
      </c>
      <c r="I94" s="2" t="n">
        <v>20</v>
      </c>
      <c r="J94" s="2" t="n">
        <v>27</v>
      </c>
      <c r="K94" s="2" t="s">
        <v>424</v>
      </c>
      <c r="L94" s="2" t="s">
        <v>198</v>
      </c>
      <c r="M94" s="2" t="n">
        <v>173</v>
      </c>
      <c r="N94" s="3" t="n">
        <v>125562</v>
      </c>
      <c r="O94" s="2"/>
      <c r="P94" s="2" t="n">
        <v>16</v>
      </c>
      <c r="Q94" s="3" t="n">
        <v>930</v>
      </c>
      <c r="R94" s="2" t="n">
        <v>6.76</v>
      </c>
      <c r="S94" s="2" t="n">
        <v>0</v>
      </c>
      <c r="T94" s="2" t="n">
        <v>1</v>
      </c>
      <c r="U94" s="2" t="n">
        <v>0</v>
      </c>
      <c r="V94" s="2" t="n">
        <v>2</v>
      </c>
      <c r="W94" s="2"/>
      <c r="X94" s="2" t="n">
        <v>0.1</v>
      </c>
      <c r="Y94" s="2" t="n">
        <v>1.6</v>
      </c>
      <c r="Z94" s="2" t="n">
        <v>0.6</v>
      </c>
      <c r="AA94" s="2" t="n">
        <v>5.9</v>
      </c>
      <c r="AB94" s="2" t="n">
        <v>3</v>
      </c>
      <c r="AC94" s="2" t="n">
        <v>13</v>
      </c>
      <c r="AD94" s="2" t="n">
        <v>1.3</v>
      </c>
      <c r="AE94" s="2" t="n">
        <v>4</v>
      </c>
      <c r="AF94" s="2" t="n">
        <v>15.3</v>
      </c>
      <c r="AG94" s="2" t="n">
        <v>77.1</v>
      </c>
      <c r="AH94" s="2" t="n">
        <v>0.6</v>
      </c>
      <c r="AI94" s="2" t="n">
        <v>66.7</v>
      </c>
      <c r="AJ94" s="2" t="n">
        <v>1.5</v>
      </c>
      <c r="AK94" s="2" t="n">
        <v>34.8</v>
      </c>
      <c r="AL94" s="2" t="n">
        <v>2</v>
      </c>
      <c r="AM94" s="2" t="n">
        <v>3.3</v>
      </c>
      <c r="AN94" s="2" t="n">
        <v>1.6</v>
      </c>
      <c r="AO94" s="2" t="n">
        <v>1.1</v>
      </c>
      <c r="AP94" s="2" t="n">
        <v>0.1</v>
      </c>
      <c r="AQ94" s="2" t="n">
        <v>0.5</v>
      </c>
      <c r="AR94" s="2"/>
      <c r="AS94" s="2" t="n">
        <v>3.3</v>
      </c>
      <c r="AT94" s="2" t="n">
        <v>0.6</v>
      </c>
      <c r="AU94" s="2" t="n">
        <v>2.1</v>
      </c>
      <c r="AV94" s="2" t="n">
        <v>2.5</v>
      </c>
      <c r="AW94" s="2" t="n">
        <v>1</v>
      </c>
      <c r="AX94" s="2"/>
      <c r="AY94" s="2"/>
      <c r="AZ94" s="2"/>
      <c r="BA94" s="2"/>
      <c r="BB94" s="2"/>
      <c r="BC94" s="2"/>
      <c r="BD94" s="4" t="s">
        <v>425</v>
      </c>
    </row>
    <row r="95" customFormat="false" ht="15" hidden="false" customHeight="false" outlineLevel="0" collapsed="false">
      <c r="A95" s="2" t="n">
        <v>1408628</v>
      </c>
      <c r="B95" s="2" t="s">
        <v>426</v>
      </c>
      <c r="C95" s="2" t="s">
        <v>340</v>
      </c>
      <c r="D95" s="2" t="s">
        <v>341</v>
      </c>
      <c r="E95" s="2" t="s">
        <v>59</v>
      </c>
      <c r="F95" s="2" t="s">
        <v>137</v>
      </c>
      <c r="G95" s="2" t="s">
        <v>427</v>
      </c>
      <c r="H95" s="2" t="s">
        <v>428</v>
      </c>
      <c r="I95" s="2" t="n">
        <v>11</v>
      </c>
      <c r="J95" s="2" t="n">
        <v>20</v>
      </c>
      <c r="K95" s="2" t="s">
        <v>429</v>
      </c>
      <c r="L95" s="2" t="s">
        <v>67</v>
      </c>
      <c r="M95" s="2" t="n">
        <v>183</v>
      </c>
      <c r="N95" s="3" t="n">
        <v>566954</v>
      </c>
      <c r="O95" s="2"/>
      <c r="P95" s="2" t="n">
        <v>7</v>
      </c>
      <c r="Q95" s="3" t="n">
        <v>446</v>
      </c>
      <c r="R95" s="2"/>
      <c r="S95" s="2"/>
      <c r="T95" s="2"/>
      <c r="U95" s="2"/>
      <c r="V95" s="2" t="n">
        <v>1</v>
      </c>
      <c r="W95" s="2"/>
      <c r="X95" s="2"/>
      <c r="Y95" s="2"/>
      <c r="Z95" s="2"/>
      <c r="AA95" s="2"/>
      <c r="AB95" s="2" t="n">
        <v>1</v>
      </c>
      <c r="AC95" s="2" t="n">
        <v>3</v>
      </c>
      <c r="AD95" s="2" t="n">
        <v>0.6</v>
      </c>
      <c r="AE95" s="2" t="n">
        <v>2</v>
      </c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4" t="s">
        <v>430</v>
      </c>
    </row>
    <row r="96" customFormat="false" ht="15" hidden="false" customHeight="false" outlineLevel="0" collapsed="false">
      <c r="A96" s="2" t="n">
        <v>1079287</v>
      </c>
      <c r="B96" s="2" t="s">
        <v>431</v>
      </c>
      <c r="C96" s="2" t="s">
        <v>340</v>
      </c>
      <c r="D96" s="2" t="s">
        <v>341</v>
      </c>
      <c r="E96" s="2" t="s">
        <v>59</v>
      </c>
      <c r="F96" s="2" t="s">
        <v>137</v>
      </c>
      <c r="G96" s="2" t="s">
        <v>147</v>
      </c>
      <c r="H96" s="2" t="s">
        <v>147</v>
      </c>
      <c r="I96" s="2" t="n">
        <v>25</v>
      </c>
      <c r="J96" s="2" t="n">
        <v>34</v>
      </c>
      <c r="K96" s="2" t="s">
        <v>432</v>
      </c>
      <c r="L96" s="2" t="s">
        <v>105</v>
      </c>
      <c r="M96" s="2" t="n">
        <v>191</v>
      </c>
      <c r="N96" s="3" t="n">
        <v>135838</v>
      </c>
      <c r="O96" s="2"/>
      <c r="P96" s="2" t="n">
        <v>8</v>
      </c>
      <c r="Q96" s="3" t="n">
        <v>133</v>
      </c>
      <c r="R96" s="2"/>
      <c r="S96" s="2"/>
      <c r="T96" s="2" t="n">
        <v>1</v>
      </c>
      <c r="U96" s="2" t="n">
        <v>0</v>
      </c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4" t="s">
        <v>433</v>
      </c>
    </row>
    <row r="97" customFormat="false" ht="15" hidden="false" customHeight="false" outlineLevel="0" collapsed="false">
      <c r="A97" s="2" t="n">
        <v>1946334</v>
      </c>
      <c r="B97" s="2" t="s">
        <v>434</v>
      </c>
      <c r="C97" s="2" t="s">
        <v>340</v>
      </c>
      <c r="D97" s="2" t="s">
        <v>341</v>
      </c>
      <c r="E97" s="2" t="s">
        <v>59</v>
      </c>
      <c r="F97" s="2" t="s">
        <v>137</v>
      </c>
      <c r="G97" s="2"/>
      <c r="H97" s="2"/>
      <c r="I97" s="2" t="n">
        <v>52</v>
      </c>
      <c r="J97" s="2" t="n">
        <v>20</v>
      </c>
      <c r="K97" s="2" t="s">
        <v>435</v>
      </c>
      <c r="L97" s="2" t="s">
        <v>67</v>
      </c>
      <c r="M97" s="2" t="n">
        <v>175</v>
      </c>
      <c r="N97" s="3"/>
      <c r="O97" s="2"/>
      <c r="P97" s="2"/>
      <c r="Q97" s="3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4" t="s">
        <v>436</v>
      </c>
    </row>
    <row r="98" customFormat="false" ht="15" hidden="false" customHeight="false" outlineLevel="0" collapsed="false">
      <c r="A98" s="2" t="n">
        <v>2119829</v>
      </c>
      <c r="B98" s="2" t="s">
        <v>437</v>
      </c>
      <c r="C98" s="2" t="s">
        <v>340</v>
      </c>
      <c r="D98" s="2" t="s">
        <v>341</v>
      </c>
      <c r="E98" s="2" t="s">
        <v>59</v>
      </c>
      <c r="F98" s="2" t="s">
        <v>137</v>
      </c>
      <c r="G98" s="2"/>
      <c r="H98" s="2"/>
      <c r="I98" s="2" t="n">
        <v>55</v>
      </c>
      <c r="J98" s="2" t="n">
        <v>20</v>
      </c>
      <c r="K98" s="2" t="s">
        <v>438</v>
      </c>
      <c r="L98" s="2" t="s">
        <v>337</v>
      </c>
      <c r="M98" s="2" t="n">
        <v>178</v>
      </c>
      <c r="N98" s="3"/>
      <c r="O98" s="2"/>
      <c r="P98" s="2"/>
      <c r="Q98" s="3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4" t="s">
        <v>439</v>
      </c>
    </row>
    <row r="99" customFormat="false" ht="15" hidden="false" customHeight="false" outlineLevel="0" collapsed="false">
      <c r="A99" s="2" t="n">
        <v>1928364</v>
      </c>
      <c r="B99" s="2" t="s">
        <v>440</v>
      </c>
      <c r="C99" s="2" t="s">
        <v>340</v>
      </c>
      <c r="D99" s="2" t="s">
        <v>341</v>
      </c>
      <c r="E99" s="2" t="s">
        <v>59</v>
      </c>
      <c r="F99" s="2" t="s">
        <v>137</v>
      </c>
      <c r="G99" s="2" t="s">
        <v>133</v>
      </c>
      <c r="H99" s="2" t="s">
        <v>133</v>
      </c>
      <c r="I99" s="2" t="n">
        <v>70</v>
      </c>
      <c r="J99" s="2" t="n">
        <v>21</v>
      </c>
      <c r="K99" s="2" t="s">
        <v>441</v>
      </c>
      <c r="L99" s="2" t="s">
        <v>442</v>
      </c>
      <c r="M99" s="2" t="n">
        <v>175</v>
      </c>
      <c r="N99" s="3"/>
      <c r="O99" s="2"/>
      <c r="P99" s="2"/>
      <c r="Q99" s="3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4" t="s">
        <v>443</v>
      </c>
    </row>
    <row r="100" customFormat="false" ht="15" hidden="false" customHeight="false" outlineLevel="0" collapsed="false">
      <c r="A100" s="2" t="n">
        <v>1357579</v>
      </c>
      <c r="B100" s="2" t="s">
        <v>444</v>
      </c>
      <c r="C100" s="2" t="s">
        <v>445</v>
      </c>
      <c r="D100" s="2" t="s">
        <v>58</v>
      </c>
      <c r="E100" s="2" t="s">
        <v>59</v>
      </c>
      <c r="F100" s="2" t="s">
        <v>60</v>
      </c>
      <c r="G100" s="2" t="s">
        <v>61</v>
      </c>
      <c r="H100" s="2" t="s">
        <v>61</v>
      </c>
      <c r="I100" s="2" t="n">
        <v>1</v>
      </c>
      <c r="J100" s="2" t="n">
        <v>29</v>
      </c>
      <c r="K100" s="2" t="s">
        <v>446</v>
      </c>
      <c r="L100" s="2" t="s">
        <v>67</v>
      </c>
      <c r="M100" s="2" t="n">
        <v>188</v>
      </c>
      <c r="N100" s="3" t="n">
        <v>50000</v>
      </c>
      <c r="O100" s="2"/>
      <c r="P100" s="2" t="n">
        <v>23</v>
      </c>
      <c r="Q100" s="3" t="n">
        <v>2070</v>
      </c>
      <c r="R100" s="2" t="n">
        <v>7.01</v>
      </c>
      <c r="S100" s="2" t="n">
        <v>0</v>
      </c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 t="n">
        <v>22.7</v>
      </c>
      <c r="AG100" s="2" t="n">
        <v>71.8</v>
      </c>
      <c r="AH100" s="2"/>
      <c r="AI100" s="2"/>
      <c r="AJ100" s="2"/>
      <c r="AK100" s="2"/>
      <c r="AL100" s="2"/>
      <c r="AM100" s="2"/>
      <c r="AN100" s="2" t="n">
        <v>0.8</v>
      </c>
      <c r="AO100" s="2"/>
      <c r="AP100" s="2"/>
      <c r="AQ100" s="2" t="n">
        <v>0.8</v>
      </c>
      <c r="AR100" s="2"/>
      <c r="AS100" s="2" t="n">
        <v>7.9</v>
      </c>
      <c r="AT100" s="2"/>
      <c r="AU100" s="2"/>
      <c r="AV100" s="2"/>
      <c r="AW100" s="2"/>
      <c r="AX100" s="2"/>
      <c r="AY100" s="2"/>
      <c r="AZ100" s="2" t="n">
        <v>12</v>
      </c>
      <c r="BA100" s="2" t="n">
        <v>2.1</v>
      </c>
      <c r="BB100" s="2" t="n">
        <v>75.4</v>
      </c>
      <c r="BC100" s="2" t="n">
        <v>0.7</v>
      </c>
      <c r="BD100" s="4" t="s">
        <v>447</v>
      </c>
    </row>
    <row r="101" customFormat="false" ht="15" hidden="false" customHeight="false" outlineLevel="0" collapsed="false">
      <c r="A101" s="2" t="n">
        <v>1298994</v>
      </c>
      <c r="B101" s="2" t="s">
        <v>448</v>
      </c>
      <c r="C101" s="2" t="s">
        <v>445</v>
      </c>
      <c r="D101" s="2" t="s">
        <v>58</v>
      </c>
      <c r="E101" s="2" t="s">
        <v>59</v>
      </c>
      <c r="F101" s="2" t="s">
        <v>60</v>
      </c>
      <c r="G101" s="2" t="s">
        <v>61</v>
      </c>
      <c r="H101" s="2" t="s">
        <v>61</v>
      </c>
      <c r="I101" s="2" t="n">
        <v>91</v>
      </c>
      <c r="J101" s="2" t="n">
        <v>29</v>
      </c>
      <c r="K101" s="2" t="s">
        <v>449</v>
      </c>
      <c r="L101" s="2" t="s">
        <v>346</v>
      </c>
      <c r="M101" s="2" t="n">
        <v>188</v>
      </c>
      <c r="N101" s="3" t="n">
        <v>50000</v>
      </c>
      <c r="O101" s="2"/>
      <c r="P101" s="2" t="n">
        <v>2</v>
      </c>
      <c r="Q101" s="3" t="n">
        <v>180</v>
      </c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 t="n">
        <v>1</v>
      </c>
      <c r="AX101" s="2"/>
      <c r="AY101" s="2"/>
      <c r="AZ101" s="2"/>
      <c r="BA101" s="2"/>
      <c r="BB101" s="2"/>
      <c r="BC101" s="2"/>
      <c r="BD101" s="4" t="s">
        <v>450</v>
      </c>
    </row>
    <row r="102" customFormat="false" ht="15" hidden="false" customHeight="false" outlineLevel="0" collapsed="false">
      <c r="A102" s="2" t="n">
        <v>649957</v>
      </c>
      <c r="B102" s="2" t="s">
        <v>451</v>
      </c>
      <c r="C102" s="2" t="s">
        <v>445</v>
      </c>
      <c r="D102" s="2" t="s">
        <v>58</v>
      </c>
      <c r="E102" s="2" t="s">
        <v>59</v>
      </c>
      <c r="F102" s="2" t="s">
        <v>60</v>
      </c>
      <c r="G102" s="2" t="s">
        <v>61</v>
      </c>
      <c r="H102" s="2" t="s">
        <v>61</v>
      </c>
      <c r="I102" s="2" t="n">
        <v>16</v>
      </c>
      <c r="J102" s="2" t="n">
        <v>30</v>
      </c>
      <c r="K102" s="2" t="s">
        <v>452</v>
      </c>
      <c r="L102" s="2" t="s">
        <v>453</v>
      </c>
      <c r="M102" s="2" t="n">
        <v>188</v>
      </c>
      <c r="N102" s="3"/>
      <c r="O102" s="2"/>
      <c r="P102" s="2"/>
      <c r="Q102" s="3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4" t="s">
        <v>454</v>
      </c>
    </row>
    <row r="103" customFormat="false" ht="15" hidden="false" customHeight="false" outlineLevel="0" collapsed="false">
      <c r="A103" s="2" t="n">
        <v>1175165</v>
      </c>
      <c r="B103" s="2" t="s">
        <v>455</v>
      </c>
      <c r="C103" s="2" t="s">
        <v>445</v>
      </c>
      <c r="D103" s="2" t="s">
        <v>58</v>
      </c>
      <c r="E103" s="2" t="s">
        <v>59</v>
      </c>
      <c r="F103" s="2" t="s">
        <v>70</v>
      </c>
      <c r="G103" s="2" t="s">
        <v>75</v>
      </c>
      <c r="H103" s="2" t="s">
        <v>75</v>
      </c>
      <c r="I103" s="2" t="n">
        <v>30</v>
      </c>
      <c r="J103" s="2" t="n">
        <v>30</v>
      </c>
      <c r="K103" s="2" t="s">
        <v>456</v>
      </c>
      <c r="L103" s="2" t="s">
        <v>67</v>
      </c>
      <c r="M103" s="2" t="n">
        <v>183</v>
      </c>
      <c r="N103" s="3" t="n">
        <v>50000</v>
      </c>
      <c r="O103" s="2"/>
      <c r="P103" s="2" t="n">
        <v>25</v>
      </c>
      <c r="Q103" s="3" t="n">
        <v>2250</v>
      </c>
      <c r="R103" s="2" t="n">
        <v>7.07</v>
      </c>
      <c r="S103" s="2" t="n">
        <v>1</v>
      </c>
      <c r="T103" s="2"/>
      <c r="U103" s="2"/>
      <c r="V103" s="2" t="n">
        <v>1</v>
      </c>
      <c r="W103" s="2"/>
      <c r="X103" s="2"/>
      <c r="Y103" s="2" t="n">
        <v>0.4</v>
      </c>
      <c r="Z103" s="2"/>
      <c r="AA103" s="2" t="n">
        <v>0</v>
      </c>
      <c r="AB103" s="2"/>
      <c r="AC103" s="2" t="n">
        <v>7</v>
      </c>
      <c r="AD103" s="2" t="n">
        <v>0.3</v>
      </c>
      <c r="AE103" s="2" t="n">
        <v>2</v>
      </c>
      <c r="AF103" s="2" t="n">
        <v>47</v>
      </c>
      <c r="AG103" s="2" t="n">
        <v>84.3</v>
      </c>
      <c r="AH103" s="2" t="n">
        <v>2.4</v>
      </c>
      <c r="AI103" s="2" t="n">
        <v>32.4</v>
      </c>
      <c r="AJ103" s="2" t="n">
        <v>0</v>
      </c>
      <c r="AK103" s="2" t="n">
        <v>50</v>
      </c>
      <c r="AL103" s="2"/>
      <c r="AM103" s="2"/>
      <c r="AN103" s="2" t="n">
        <v>8</v>
      </c>
      <c r="AO103" s="2" t="n">
        <v>0.7</v>
      </c>
      <c r="AP103" s="2" t="n">
        <v>0.9</v>
      </c>
      <c r="AQ103" s="2" t="n">
        <v>5.5</v>
      </c>
      <c r="AR103" s="2" t="n">
        <v>0.9</v>
      </c>
      <c r="AS103" s="2" t="n">
        <v>3.6</v>
      </c>
      <c r="AT103" s="2"/>
      <c r="AU103" s="2"/>
      <c r="AV103" s="2" t="n">
        <v>1.3</v>
      </c>
      <c r="AW103" s="2" t="n">
        <v>5</v>
      </c>
      <c r="AX103" s="2"/>
      <c r="AY103" s="2"/>
      <c r="AZ103" s="2"/>
      <c r="BA103" s="2"/>
      <c r="BB103" s="2"/>
      <c r="BC103" s="2"/>
      <c r="BD103" s="4" t="s">
        <v>457</v>
      </c>
    </row>
    <row r="104" customFormat="false" ht="15" hidden="false" customHeight="false" outlineLevel="0" collapsed="false">
      <c r="A104" s="2" t="n">
        <v>1644456</v>
      </c>
      <c r="B104" s="2" t="s">
        <v>458</v>
      </c>
      <c r="C104" s="2" t="s">
        <v>445</v>
      </c>
      <c r="D104" s="2" t="s">
        <v>58</v>
      </c>
      <c r="E104" s="2" t="s">
        <v>59</v>
      </c>
      <c r="F104" s="2" t="s">
        <v>70</v>
      </c>
      <c r="G104" s="2" t="s">
        <v>92</v>
      </c>
      <c r="H104" s="2" t="s">
        <v>459</v>
      </c>
      <c r="I104" s="2" t="n">
        <v>14</v>
      </c>
      <c r="J104" s="2" t="n">
        <v>25</v>
      </c>
      <c r="K104" s="2" t="s">
        <v>460</v>
      </c>
      <c r="L104" s="2" t="s">
        <v>198</v>
      </c>
      <c r="M104" s="2" t="n">
        <v>178</v>
      </c>
      <c r="N104" s="3" t="n">
        <v>102034</v>
      </c>
      <c r="O104" s="2"/>
      <c r="P104" s="2" t="n">
        <v>25</v>
      </c>
      <c r="Q104" s="3" t="n">
        <v>2164</v>
      </c>
      <c r="R104" s="2" t="n">
        <v>7.32</v>
      </c>
      <c r="S104" s="2" t="n">
        <v>6</v>
      </c>
      <c r="T104" s="2"/>
      <c r="U104" s="2"/>
      <c r="V104" s="2" t="n">
        <v>2</v>
      </c>
      <c r="W104" s="2"/>
      <c r="X104" s="2"/>
      <c r="Y104" s="2" t="n">
        <v>0.6</v>
      </c>
      <c r="Z104" s="2" t="n">
        <v>0</v>
      </c>
      <c r="AA104" s="2" t="n">
        <v>0</v>
      </c>
      <c r="AB104" s="2" t="n">
        <v>1</v>
      </c>
      <c r="AC104" s="2" t="n">
        <v>15</v>
      </c>
      <c r="AD104" s="2" t="n">
        <v>0.6</v>
      </c>
      <c r="AE104" s="2" t="n">
        <v>4</v>
      </c>
      <c r="AF104" s="2" t="n">
        <v>24.6</v>
      </c>
      <c r="AG104" s="2" t="n">
        <v>76.2</v>
      </c>
      <c r="AH104" s="2" t="n">
        <v>1.6</v>
      </c>
      <c r="AI104" s="2" t="n">
        <v>32.5</v>
      </c>
      <c r="AJ104" s="2" t="n">
        <v>1.1</v>
      </c>
      <c r="AK104" s="2" t="n">
        <v>50.9</v>
      </c>
      <c r="AL104" s="2"/>
      <c r="AM104" s="2"/>
      <c r="AN104" s="2" t="n">
        <v>6.6</v>
      </c>
      <c r="AO104" s="2" t="n">
        <v>2.6</v>
      </c>
      <c r="AP104" s="2" t="n">
        <v>1.7</v>
      </c>
      <c r="AQ104" s="2" t="n">
        <v>2</v>
      </c>
      <c r="AR104" s="2" t="n">
        <v>0.2</v>
      </c>
      <c r="AS104" s="2" t="n">
        <v>4.5</v>
      </c>
      <c r="AT104" s="2" t="n">
        <v>0</v>
      </c>
      <c r="AU104" s="2" t="n">
        <v>1.8</v>
      </c>
      <c r="AV104" s="2" t="n">
        <v>1.5</v>
      </c>
      <c r="AW104" s="2" t="n">
        <v>5</v>
      </c>
      <c r="AX104" s="2"/>
      <c r="AY104" s="2" t="n">
        <v>1</v>
      </c>
      <c r="AZ104" s="2"/>
      <c r="BA104" s="2"/>
      <c r="BB104" s="2"/>
      <c r="BC104" s="2"/>
      <c r="BD104" s="4" t="s">
        <v>461</v>
      </c>
    </row>
    <row r="105" customFormat="false" ht="15" hidden="false" customHeight="false" outlineLevel="0" collapsed="false">
      <c r="A105" s="2" t="n">
        <v>1026047</v>
      </c>
      <c r="B105" s="2" t="s">
        <v>462</v>
      </c>
      <c r="C105" s="2" t="s">
        <v>445</v>
      </c>
      <c r="D105" s="2" t="s">
        <v>58</v>
      </c>
      <c r="E105" s="2" t="s">
        <v>59</v>
      </c>
      <c r="F105" s="2" t="s">
        <v>70</v>
      </c>
      <c r="G105" s="2" t="s">
        <v>75</v>
      </c>
      <c r="H105" s="2" t="s">
        <v>75</v>
      </c>
      <c r="I105" s="2" t="n">
        <v>4</v>
      </c>
      <c r="J105" s="2" t="n">
        <v>29</v>
      </c>
      <c r="K105" s="2" t="s">
        <v>463</v>
      </c>
      <c r="L105" s="2" t="s">
        <v>116</v>
      </c>
      <c r="M105" s="2" t="n">
        <v>191</v>
      </c>
      <c r="N105" s="3" t="n">
        <v>50000</v>
      </c>
      <c r="O105" s="2"/>
      <c r="P105" s="2" t="n">
        <v>25</v>
      </c>
      <c r="Q105" s="3" t="n">
        <v>2034</v>
      </c>
      <c r="R105" s="2" t="n">
        <v>7.08</v>
      </c>
      <c r="S105" s="2" t="n">
        <v>1</v>
      </c>
      <c r="T105" s="2"/>
      <c r="U105" s="2"/>
      <c r="V105" s="2"/>
      <c r="W105" s="2"/>
      <c r="X105" s="2"/>
      <c r="Y105" s="2" t="n">
        <v>0.8</v>
      </c>
      <c r="Z105" s="2" t="n">
        <v>0.1</v>
      </c>
      <c r="AA105" s="2" t="n">
        <v>0</v>
      </c>
      <c r="AB105" s="2" t="n">
        <v>4</v>
      </c>
      <c r="AC105" s="2" t="n">
        <v>5</v>
      </c>
      <c r="AD105" s="2" t="n">
        <v>0.2</v>
      </c>
      <c r="AE105" s="2"/>
      <c r="AF105" s="2" t="n">
        <v>45.5</v>
      </c>
      <c r="AG105" s="2" t="n">
        <v>83.9</v>
      </c>
      <c r="AH105" s="2" t="n">
        <v>2.7</v>
      </c>
      <c r="AI105" s="2" t="n">
        <v>37.4</v>
      </c>
      <c r="AJ105" s="2" t="n">
        <v>0</v>
      </c>
      <c r="AK105" s="2" t="n">
        <v>100</v>
      </c>
      <c r="AL105" s="2"/>
      <c r="AM105" s="2"/>
      <c r="AN105" s="2" t="n">
        <v>9.3</v>
      </c>
      <c r="AO105" s="2" t="n">
        <v>0.8</v>
      </c>
      <c r="AP105" s="2" t="n">
        <v>1.2</v>
      </c>
      <c r="AQ105" s="2" t="n">
        <v>6.5</v>
      </c>
      <c r="AR105" s="2" t="n">
        <v>0.8</v>
      </c>
      <c r="AS105" s="2" t="n">
        <v>2.5</v>
      </c>
      <c r="AT105" s="2" t="n">
        <v>0</v>
      </c>
      <c r="AU105" s="2" t="n">
        <v>1</v>
      </c>
      <c r="AV105" s="2" t="n">
        <v>0.8</v>
      </c>
      <c r="AW105" s="2" t="n">
        <v>4</v>
      </c>
      <c r="AX105" s="2"/>
      <c r="AY105" s="2"/>
      <c r="AZ105" s="2"/>
      <c r="BA105" s="2"/>
      <c r="BB105" s="2"/>
      <c r="BC105" s="2"/>
      <c r="BD105" s="4" t="s">
        <v>464</v>
      </c>
    </row>
    <row r="106" customFormat="false" ht="15" hidden="false" customHeight="false" outlineLevel="0" collapsed="false">
      <c r="A106" s="2" t="n">
        <v>1611186</v>
      </c>
      <c r="B106" s="2" t="s">
        <v>465</v>
      </c>
      <c r="C106" s="2" t="s">
        <v>445</v>
      </c>
      <c r="D106" s="2" t="s">
        <v>58</v>
      </c>
      <c r="E106" s="2" t="s">
        <v>59</v>
      </c>
      <c r="F106" s="2" t="s">
        <v>70</v>
      </c>
      <c r="G106" s="2" t="s">
        <v>71</v>
      </c>
      <c r="H106" s="2" t="s">
        <v>71</v>
      </c>
      <c r="I106" s="2" t="n">
        <v>33</v>
      </c>
      <c r="J106" s="2" t="n">
        <v>24</v>
      </c>
      <c r="K106" s="2" t="s">
        <v>466</v>
      </c>
      <c r="L106" s="2" t="s">
        <v>67</v>
      </c>
      <c r="M106" s="2" t="n">
        <v>178</v>
      </c>
      <c r="N106" s="3"/>
      <c r="O106" s="2"/>
      <c r="P106" s="2" t="n">
        <v>20</v>
      </c>
      <c r="Q106" s="3" t="n">
        <v>1452</v>
      </c>
      <c r="R106" s="2" t="n">
        <v>6.82</v>
      </c>
      <c r="S106" s="2" t="n">
        <v>0</v>
      </c>
      <c r="T106" s="2" t="n">
        <v>1</v>
      </c>
      <c r="U106" s="2" t="n">
        <v>0</v>
      </c>
      <c r="V106" s="2"/>
      <c r="W106" s="2"/>
      <c r="X106" s="2" t="n">
        <v>0.06</v>
      </c>
      <c r="Y106" s="2" t="n">
        <v>0.6</v>
      </c>
      <c r="Z106" s="2" t="n">
        <v>0.1</v>
      </c>
      <c r="AA106" s="2" t="n">
        <v>11.1</v>
      </c>
      <c r="AB106" s="2"/>
      <c r="AC106" s="2" t="n">
        <v>17</v>
      </c>
      <c r="AD106" s="2" t="n">
        <v>1.1</v>
      </c>
      <c r="AE106" s="2" t="n">
        <v>5</v>
      </c>
      <c r="AF106" s="2" t="n">
        <v>28.1</v>
      </c>
      <c r="AG106" s="2" t="n">
        <v>72.6</v>
      </c>
      <c r="AH106" s="2" t="n">
        <v>1.4</v>
      </c>
      <c r="AI106" s="2" t="n">
        <v>23</v>
      </c>
      <c r="AJ106" s="2" t="n">
        <v>0.3</v>
      </c>
      <c r="AK106" s="2" t="n">
        <v>31.3</v>
      </c>
      <c r="AL106" s="2"/>
      <c r="AM106" s="2"/>
      <c r="AN106" s="2" t="n">
        <v>5.3</v>
      </c>
      <c r="AO106" s="2" t="n">
        <v>1.2</v>
      </c>
      <c r="AP106" s="2" t="n">
        <v>0.6</v>
      </c>
      <c r="AQ106" s="2" t="n">
        <v>3.2</v>
      </c>
      <c r="AR106" s="2" t="n">
        <v>0.2</v>
      </c>
      <c r="AS106" s="2" t="n">
        <v>3.5</v>
      </c>
      <c r="AT106" s="2"/>
      <c r="AU106" s="2"/>
      <c r="AV106" s="2" t="n">
        <v>1.2</v>
      </c>
      <c r="AW106" s="2" t="n">
        <v>2</v>
      </c>
      <c r="AX106" s="2"/>
      <c r="AY106" s="2"/>
      <c r="AZ106" s="2"/>
      <c r="BA106" s="2"/>
      <c r="BB106" s="2"/>
      <c r="BC106" s="2"/>
      <c r="BD106" s="4" t="s">
        <v>467</v>
      </c>
    </row>
    <row r="107" customFormat="false" ht="15" hidden="false" customHeight="false" outlineLevel="0" collapsed="false">
      <c r="A107" s="2" t="n">
        <v>1172869</v>
      </c>
      <c r="B107" s="2" t="s">
        <v>468</v>
      </c>
      <c r="C107" s="2" t="s">
        <v>445</v>
      </c>
      <c r="D107" s="2" t="s">
        <v>58</v>
      </c>
      <c r="E107" s="2" t="s">
        <v>59</v>
      </c>
      <c r="F107" s="2" t="s">
        <v>70</v>
      </c>
      <c r="G107" s="2" t="s">
        <v>71</v>
      </c>
      <c r="H107" s="2" t="s">
        <v>469</v>
      </c>
      <c r="I107" s="2" t="n">
        <v>3</v>
      </c>
      <c r="J107" s="2" t="n">
        <v>26</v>
      </c>
      <c r="K107" s="2" t="s">
        <v>470</v>
      </c>
      <c r="L107" s="2" t="s">
        <v>67</v>
      </c>
      <c r="M107" s="2" t="n">
        <v>180</v>
      </c>
      <c r="N107" s="3" t="n">
        <v>119426</v>
      </c>
      <c r="O107" s="2"/>
      <c r="P107" s="2" t="n">
        <v>20</v>
      </c>
      <c r="Q107" s="3" t="n">
        <v>1218</v>
      </c>
      <c r="R107" s="2" t="n">
        <v>6.83</v>
      </c>
      <c r="S107" s="2" t="n">
        <v>1</v>
      </c>
      <c r="T107" s="2"/>
      <c r="U107" s="2"/>
      <c r="V107" s="2" t="n">
        <v>3</v>
      </c>
      <c r="W107" s="2"/>
      <c r="X107" s="2"/>
      <c r="Y107" s="2" t="n">
        <v>0.4</v>
      </c>
      <c r="Z107" s="2" t="n">
        <v>0.1</v>
      </c>
      <c r="AA107" s="2" t="n">
        <v>0</v>
      </c>
      <c r="AB107" s="2"/>
      <c r="AC107" s="2" t="n">
        <v>19</v>
      </c>
      <c r="AD107" s="2" t="n">
        <v>1.4</v>
      </c>
      <c r="AE107" s="2" t="n">
        <v>5</v>
      </c>
      <c r="AF107" s="2" t="n">
        <v>30</v>
      </c>
      <c r="AG107" s="2" t="n">
        <v>76.6</v>
      </c>
      <c r="AH107" s="2" t="n">
        <v>2.4</v>
      </c>
      <c r="AI107" s="2" t="n">
        <v>42.3</v>
      </c>
      <c r="AJ107" s="2" t="n">
        <v>0.7</v>
      </c>
      <c r="AK107" s="2" t="n">
        <v>62.5</v>
      </c>
      <c r="AL107" s="2"/>
      <c r="AM107" s="2"/>
      <c r="AN107" s="2" t="n">
        <v>4.4</v>
      </c>
      <c r="AO107" s="2" t="n">
        <v>1.2</v>
      </c>
      <c r="AP107" s="2" t="n">
        <v>1.3</v>
      </c>
      <c r="AQ107" s="2" t="n">
        <v>1.6</v>
      </c>
      <c r="AR107" s="2" t="n">
        <v>0.3</v>
      </c>
      <c r="AS107" s="2" t="n">
        <v>2.5</v>
      </c>
      <c r="AT107" s="2" t="n">
        <v>0.4</v>
      </c>
      <c r="AU107" s="2" t="n">
        <v>0.8</v>
      </c>
      <c r="AV107" s="2" t="n">
        <v>1.3</v>
      </c>
      <c r="AW107" s="2" t="n">
        <v>4</v>
      </c>
      <c r="AX107" s="2"/>
      <c r="AY107" s="2" t="n">
        <v>1</v>
      </c>
      <c r="AZ107" s="2"/>
      <c r="BA107" s="2"/>
      <c r="BB107" s="2"/>
      <c r="BC107" s="2"/>
      <c r="BD107" s="4" t="s">
        <v>471</v>
      </c>
    </row>
    <row r="108" customFormat="false" ht="15" hidden="false" customHeight="false" outlineLevel="0" collapsed="false">
      <c r="A108" s="2" t="n">
        <v>1246586</v>
      </c>
      <c r="B108" s="2" t="s">
        <v>472</v>
      </c>
      <c r="C108" s="2" t="s">
        <v>445</v>
      </c>
      <c r="D108" s="2" t="s">
        <v>58</v>
      </c>
      <c r="E108" s="2" t="s">
        <v>59</v>
      </c>
      <c r="F108" s="2" t="s">
        <v>70</v>
      </c>
      <c r="G108" s="2" t="s">
        <v>75</v>
      </c>
      <c r="H108" s="2" t="s">
        <v>352</v>
      </c>
      <c r="I108" s="2" t="n">
        <v>20</v>
      </c>
      <c r="J108" s="2" t="n">
        <v>27</v>
      </c>
      <c r="K108" s="2" t="s">
        <v>473</v>
      </c>
      <c r="L108" s="2" t="s">
        <v>67</v>
      </c>
      <c r="M108" s="2" t="n">
        <v>183</v>
      </c>
      <c r="N108" s="3" t="n">
        <v>50000</v>
      </c>
      <c r="O108" s="2"/>
      <c r="P108" s="2" t="n">
        <v>13</v>
      </c>
      <c r="Q108" s="3" t="n">
        <v>405</v>
      </c>
      <c r="R108" s="2"/>
      <c r="S108" s="2"/>
      <c r="T108" s="2" t="n">
        <v>1</v>
      </c>
      <c r="U108" s="2" t="n">
        <v>0</v>
      </c>
      <c r="V108" s="2"/>
      <c r="W108" s="2"/>
      <c r="X108" s="2" t="n">
        <v>0.22</v>
      </c>
      <c r="Y108" s="2" t="n">
        <v>0.9</v>
      </c>
      <c r="Z108" s="2" t="n">
        <v>0.2</v>
      </c>
      <c r="AA108" s="2" t="n">
        <v>25</v>
      </c>
      <c r="AB108" s="2"/>
      <c r="AC108" s="2" t="n">
        <v>3</v>
      </c>
      <c r="AD108" s="2" t="n">
        <v>0.7</v>
      </c>
      <c r="AE108" s="2"/>
      <c r="AF108" s="2" t="n">
        <v>49.8</v>
      </c>
      <c r="AG108" s="2" t="n">
        <v>87.8</v>
      </c>
      <c r="AH108" s="2" t="n">
        <v>2</v>
      </c>
      <c r="AI108" s="2" t="n">
        <v>40.9</v>
      </c>
      <c r="AJ108" s="2" t="n">
        <v>0.7</v>
      </c>
      <c r="AK108" s="2" t="n">
        <v>100</v>
      </c>
      <c r="AL108" s="2"/>
      <c r="AM108" s="2"/>
      <c r="AN108" s="2" t="n">
        <v>6</v>
      </c>
      <c r="AO108" s="2" t="n">
        <v>1.1</v>
      </c>
      <c r="AP108" s="2" t="n">
        <v>0.4</v>
      </c>
      <c r="AQ108" s="2" t="n">
        <v>3.8</v>
      </c>
      <c r="AR108" s="2" t="n">
        <v>0.7</v>
      </c>
      <c r="AS108" s="2" t="n">
        <v>4.4</v>
      </c>
      <c r="AT108" s="2"/>
      <c r="AU108" s="2"/>
      <c r="AV108" s="2" t="n">
        <v>1.3</v>
      </c>
      <c r="AW108" s="2"/>
      <c r="AX108" s="2"/>
      <c r="AY108" s="2"/>
      <c r="AZ108" s="2"/>
      <c r="BA108" s="2"/>
      <c r="BB108" s="2"/>
      <c r="BC108" s="2"/>
      <c r="BD108" s="4" t="s">
        <v>474</v>
      </c>
    </row>
    <row r="109" customFormat="false" ht="15" hidden="false" customHeight="false" outlineLevel="0" collapsed="false">
      <c r="A109" s="2" t="n">
        <v>1081951</v>
      </c>
      <c r="B109" s="2" t="s">
        <v>475</v>
      </c>
      <c r="C109" s="2" t="s">
        <v>445</v>
      </c>
      <c r="D109" s="2" t="s">
        <v>58</v>
      </c>
      <c r="E109" s="2" t="s">
        <v>59</v>
      </c>
      <c r="F109" s="2" t="s">
        <v>70</v>
      </c>
      <c r="G109" s="2" t="s">
        <v>92</v>
      </c>
      <c r="H109" s="2" t="s">
        <v>476</v>
      </c>
      <c r="I109" s="2" t="n">
        <v>2</v>
      </c>
      <c r="J109" s="2" t="n">
        <v>31</v>
      </c>
      <c r="K109" s="2" t="s">
        <v>477</v>
      </c>
      <c r="L109" s="2" t="s">
        <v>67</v>
      </c>
      <c r="M109" s="2" t="n">
        <v>183</v>
      </c>
      <c r="N109" s="3" t="n">
        <v>50000</v>
      </c>
      <c r="O109" s="2"/>
      <c r="P109" s="2" t="n">
        <v>4</v>
      </c>
      <c r="Q109" s="3" t="n">
        <v>136</v>
      </c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 t="n">
        <v>1</v>
      </c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4" t="s">
        <v>478</v>
      </c>
    </row>
    <row r="110" customFormat="false" ht="15" hidden="false" customHeight="false" outlineLevel="0" collapsed="false">
      <c r="A110" s="2" t="n">
        <v>1175374</v>
      </c>
      <c r="B110" s="2" t="s">
        <v>479</v>
      </c>
      <c r="C110" s="2" t="s">
        <v>445</v>
      </c>
      <c r="D110" s="2" t="s">
        <v>58</v>
      </c>
      <c r="E110" s="2" t="s">
        <v>59</v>
      </c>
      <c r="F110" s="2" t="s">
        <v>70</v>
      </c>
      <c r="G110" s="2" t="s">
        <v>75</v>
      </c>
      <c r="H110" s="2" t="s">
        <v>75</v>
      </c>
      <c r="I110" s="2" t="n">
        <v>12</v>
      </c>
      <c r="J110" s="2" t="n">
        <v>31</v>
      </c>
      <c r="K110" s="2" t="s">
        <v>480</v>
      </c>
      <c r="L110" s="2" t="s">
        <v>67</v>
      </c>
      <c r="M110" s="2" t="n">
        <v>188</v>
      </c>
      <c r="N110" s="3" t="n">
        <v>50000</v>
      </c>
      <c r="O110" s="2"/>
      <c r="P110" s="2" t="n">
        <v>2</v>
      </c>
      <c r="Q110" s="3" t="n">
        <v>3</v>
      </c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4" t="s">
        <v>481</v>
      </c>
    </row>
    <row r="111" customFormat="false" ht="15" hidden="false" customHeight="false" outlineLevel="0" collapsed="false">
      <c r="A111" s="2" t="n">
        <v>1079029</v>
      </c>
      <c r="B111" s="2" t="s">
        <v>482</v>
      </c>
      <c r="C111" s="2" t="s">
        <v>445</v>
      </c>
      <c r="D111" s="2" t="s">
        <v>58</v>
      </c>
      <c r="E111" s="2" t="s">
        <v>59</v>
      </c>
      <c r="F111" s="2" t="s">
        <v>102</v>
      </c>
      <c r="G111" s="2" t="s">
        <v>103</v>
      </c>
      <c r="H111" s="2" t="s">
        <v>123</v>
      </c>
      <c r="I111" s="2" t="n">
        <v>22</v>
      </c>
      <c r="J111" s="2" t="n">
        <v>24</v>
      </c>
      <c r="K111" s="2" t="s">
        <v>483</v>
      </c>
      <c r="L111" s="2" t="s">
        <v>67</v>
      </c>
      <c r="M111" s="2" t="n">
        <v>173</v>
      </c>
      <c r="N111" s="3" t="n">
        <v>99450</v>
      </c>
      <c r="O111" s="2"/>
      <c r="P111" s="2" t="n">
        <v>25</v>
      </c>
      <c r="Q111" s="3" t="n">
        <v>2036</v>
      </c>
      <c r="R111" s="2" t="n">
        <v>7.17</v>
      </c>
      <c r="S111" s="2" t="n">
        <v>2</v>
      </c>
      <c r="T111" s="2" t="n">
        <v>1</v>
      </c>
      <c r="U111" s="2" t="n">
        <v>0</v>
      </c>
      <c r="V111" s="2" t="n">
        <v>4</v>
      </c>
      <c r="W111" s="2"/>
      <c r="X111" s="2" t="n">
        <v>0.04</v>
      </c>
      <c r="Y111" s="2" t="n">
        <v>1.5</v>
      </c>
      <c r="Z111" s="2" t="n">
        <v>0.5</v>
      </c>
      <c r="AA111" s="2" t="n">
        <v>3</v>
      </c>
      <c r="AB111" s="2"/>
      <c r="AC111" s="2" t="n">
        <v>41</v>
      </c>
      <c r="AD111" s="2" t="n">
        <v>1.8</v>
      </c>
      <c r="AE111" s="2" t="n">
        <v>10</v>
      </c>
      <c r="AF111" s="2" t="n">
        <v>42.3</v>
      </c>
      <c r="AG111" s="2" t="n">
        <v>85.1</v>
      </c>
      <c r="AH111" s="2" t="n">
        <v>3.9</v>
      </c>
      <c r="AI111" s="2" t="n">
        <v>51.7</v>
      </c>
      <c r="AJ111" s="2" t="n">
        <v>0.9</v>
      </c>
      <c r="AK111" s="2" t="n">
        <v>62.5</v>
      </c>
      <c r="AL111" s="2"/>
      <c r="AM111" s="2"/>
      <c r="AN111" s="2" t="n">
        <v>2.2</v>
      </c>
      <c r="AO111" s="2" t="n">
        <v>0.9</v>
      </c>
      <c r="AP111" s="2" t="n">
        <v>0.7</v>
      </c>
      <c r="AQ111" s="2" t="n">
        <v>0.6</v>
      </c>
      <c r="AR111" s="2" t="n">
        <v>0</v>
      </c>
      <c r="AS111" s="2" t="n">
        <v>3.8</v>
      </c>
      <c r="AT111" s="2" t="n">
        <v>0.4</v>
      </c>
      <c r="AU111" s="2" t="n">
        <v>2.1</v>
      </c>
      <c r="AV111" s="2" t="n">
        <v>0.6</v>
      </c>
      <c r="AW111" s="2" t="n">
        <v>4</v>
      </c>
      <c r="AX111" s="2"/>
      <c r="AY111" s="2"/>
      <c r="AZ111" s="2"/>
      <c r="BA111" s="2"/>
      <c r="BB111" s="2"/>
      <c r="BC111" s="2"/>
      <c r="BD111" s="4" t="s">
        <v>484</v>
      </c>
    </row>
    <row r="112" customFormat="false" ht="15" hidden="false" customHeight="false" outlineLevel="0" collapsed="false">
      <c r="A112" s="2" t="n">
        <v>1170736</v>
      </c>
      <c r="B112" s="2" t="s">
        <v>485</v>
      </c>
      <c r="C112" s="2" t="s">
        <v>445</v>
      </c>
      <c r="D112" s="2" t="s">
        <v>58</v>
      </c>
      <c r="E112" s="2" t="s">
        <v>59</v>
      </c>
      <c r="F112" s="2" t="s">
        <v>102</v>
      </c>
      <c r="G112" s="2" t="s">
        <v>103</v>
      </c>
      <c r="H112" s="2" t="s">
        <v>204</v>
      </c>
      <c r="I112" s="2" t="n">
        <v>8</v>
      </c>
      <c r="J112" s="2" t="n">
        <v>27</v>
      </c>
      <c r="K112" s="2" t="s">
        <v>486</v>
      </c>
      <c r="L112" s="2" t="s">
        <v>89</v>
      </c>
      <c r="M112" s="2" t="n">
        <v>183</v>
      </c>
      <c r="N112" s="3" t="n">
        <v>63090</v>
      </c>
      <c r="O112" s="2"/>
      <c r="P112" s="2" t="n">
        <v>24</v>
      </c>
      <c r="Q112" s="3" t="n">
        <v>1611</v>
      </c>
      <c r="R112" s="2" t="n">
        <v>6.58</v>
      </c>
      <c r="S112" s="2" t="n">
        <v>1</v>
      </c>
      <c r="T112" s="2" t="n">
        <v>1</v>
      </c>
      <c r="U112" s="2" t="n">
        <v>0</v>
      </c>
      <c r="V112" s="2"/>
      <c r="W112" s="2"/>
      <c r="X112" s="2" t="n">
        <v>0.06</v>
      </c>
      <c r="Y112" s="2" t="n">
        <v>1.1</v>
      </c>
      <c r="Z112" s="2" t="n">
        <v>0.2</v>
      </c>
      <c r="AA112" s="2" t="n">
        <v>5</v>
      </c>
      <c r="AB112" s="2"/>
      <c r="AC112" s="2" t="n">
        <v>10</v>
      </c>
      <c r="AD112" s="2" t="n">
        <v>0.6</v>
      </c>
      <c r="AE112" s="2" t="n">
        <v>1</v>
      </c>
      <c r="AF112" s="2" t="n">
        <v>22.6</v>
      </c>
      <c r="AG112" s="2" t="n">
        <v>83.3</v>
      </c>
      <c r="AH112" s="2" t="n">
        <v>0.8</v>
      </c>
      <c r="AI112" s="2" t="n">
        <v>50</v>
      </c>
      <c r="AJ112" s="2" t="n">
        <v>0.7</v>
      </c>
      <c r="AK112" s="2" t="n">
        <v>40.6</v>
      </c>
      <c r="AL112" s="2"/>
      <c r="AM112" s="2"/>
      <c r="AN112" s="2" t="n">
        <v>2.8</v>
      </c>
      <c r="AO112" s="2" t="n">
        <v>1.3</v>
      </c>
      <c r="AP112" s="2" t="n">
        <v>1.1</v>
      </c>
      <c r="AQ112" s="2" t="n">
        <v>0.3</v>
      </c>
      <c r="AR112" s="2" t="n">
        <v>0.2</v>
      </c>
      <c r="AS112" s="2" t="n">
        <v>3.7</v>
      </c>
      <c r="AT112" s="2" t="n">
        <v>0.2</v>
      </c>
      <c r="AU112" s="2" t="n">
        <v>2.3</v>
      </c>
      <c r="AV112" s="2" t="n">
        <v>1.8</v>
      </c>
      <c r="AW112" s="2" t="n">
        <v>5</v>
      </c>
      <c r="AX112" s="2" t="n">
        <v>1</v>
      </c>
      <c r="AY112" s="2"/>
      <c r="AZ112" s="2"/>
      <c r="BA112" s="2"/>
      <c r="BB112" s="2"/>
      <c r="BC112" s="2"/>
      <c r="BD112" s="4" t="s">
        <v>487</v>
      </c>
    </row>
    <row r="113" customFormat="false" ht="15" hidden="false" customHeight="false" outlineLevel="0" collapsed="false">
      <c r="A113" s="2" t="n">
        <v>942418</v>
      </c>
      <c r="B113" s="2" t="s">
        <v>488</v>
      </c>
      <c r="C113" s="2" t="s">
        <v>445</v>
      </c>
      <c r="D113" s="2" t="s">
        <v>58</v>
      </c>
      <c r="E113" s="2" t="s">
        <v>59</v>
      </c>
      <c r="F113" s="2" t="s">
        <v>102</v>
      </c>
      <c r="G113" s="2" t="s">
        <v>113</v>
      </c>
      <c r="H113" s="2" t="s">
        <v>489</v>
      </c>
      <c r="I113" s="2" t="n">
        <v>21</v>
      </c>
      <c r="J113" s="2" t="n">
        <v>31</v>
      </c>
      <c r="K113" s="2" t="s">
        <v>477</v>
      </c>
      <c r="L113" s="2" t="s">
        <v>67</v>
      </c>
      <c r="M113" s="2" t="n">
        <v>180</v>
      </c>
      <c r="N113" s="3" t="n">
        <v>72000</v>
      </c>
      <c r="O113" s="2"/>
      <c r="P113" s="2" t="n">
        <v>20</v>
      </c>
      <c r="Q113" s="3" t="n">
        <v>1389</v>
      </c>
      <c r="R113" s="2" t="n">
        <v>6.66</v>
      </c>
      <c r="S113" s="2" t="n">
        <v>0</v>
      </c>
      <c r="T113" s="2" t="n">
        <v>3</v>
      </c>
      <c r="U113" s="2" t="n">
        <v>0</v>
      </c>
      <c r="V113" s="2" t="n">
        <v>1</v>
      </c>
      <c r="W113" s="2"/>
      <c r="X113" s="2" t="n">
        <v>0.19</v>
      </c>
      <c r="Y113" s="2" t="n">
        <v>1.6</v>
      </c>
      <c r="Z113" s="2" t="n">
        <v>0.5</v>
      </c>
      <c r="AA113" s="2" t="n">
        <v>12</v>
      </c>
      <c r="AB113" s="2" t="n">
        <v>2</v>
      </c>
      <c r="AC113" s="2" t="n">
        <v>17</v>
      </c>
      <c r="AD113" s="2" t="n">
        <v>1.1</v>
      </c>
      <c r="AE113" s="2" t="n">
        <v>3</v>
      </c>
      <c r="AF113" s="2" t="n">
        <v>25.3</v>
      </c>
      <c r="AG113" s="2" t="n">
        <v>74.8</v>
      </c>
      <c r="AH113" s="2" t="n">
        <v>2</v>
      </c>
      <c r="AI113" s="2" t="n">
        <v>62</v>
      </c>
      <c r="AJ113" s="2" t="n">
        <v>0.5</v>
      </c>
      <c r="AK113" s="2" t="n">
        <v>36.4</v>
      </c>
      <c r="AL113" s="2"/>
      <c r="AM113" s="2"/>
      <c r="AN113" s="2" t="n">
        <v>2.5</v>
      </c>
      <c r="AO113" s="2" t="n">
        <v>1.2</v>
      </c>
      <c r="AP113" s="2" t="n">
        <v>0.6</v>
      </c>
      <c r="AQ113" s="2" t="n">
        <v>0.6</v>
      </c>
      <c r="AR113" s="2" t="n">
        <v>0.1</v>
      </c>
      <c r="AS113" s="2" t="n">
        <v>2.3</v>
      </c>
      <c r="AT113" s="2" t="n">
        <v>0.5</v>
      </c>
      <c r="AU113" s="2" t="n">
        <v>1</v>
      </c>
      <c r="AV113" s="2" t="n">
        <v>1</v>
      </c>
      <c r="AW113" s="2" t="n">
        <v>4</v>
      </c>
      <c r="AX113" s="2"/>
      <c r="AY113" s="2"/>
      <c r="AZ113" s="2"/>
      <c r="BA113" s="2"/>
      <c r="BB113" s="2"/>
      <c r="BC113" s="2"/>
      <c r="BD113" s="4" t="s">
        <v>490</v>
      </c>
    </row>
    <row r="114" customFormat="false" ht="15" hidden="false" customHeight="false" outlineLevel="0" collapsed="false">
      <c r="A114" s="2" t="n">
        <v>157390</v>
      </c>
      <c r="B114" s="2" t="s">
        <v>491</v>
      </c>
      <c r="C114" s="2" t="s">
        <v>445</v>
      </c>
      <c r="D114" s="2" t="s">
        <v>58</v>
      </c>
      <c r="E114" s="2" t="s">
        <v>59</v>
      </c>
      <c r="F114" s="2" t="s">
        <v>102</v>
      </c>
      <c r="G114" s="2" t="s">
        <v>103</v>
      </c>
      <c r="H114" s="2" t="s">
        <v>123</v>
      </c>
      <c r="I114" s="2" t="n">
        <v>6</v>
      </c>
      <c r="J114" s="2" t="n">
        <v>35</v>
      </c>
      <c r="K114" s="2" t="s">
        <v>492</v>
      </c>
      <c r="L114" s="2" t="s">
        <v>110</v>
      </c>
      <c r="M114" s="2" t="n">
        <v>173</v>
      </c>
      <c r="N114" s="3" t="n">
        <v>50000</v>
      </c>
      <c r="O114" s="2"/>
      <c r="P114" s="2" t="n">
        <v>20</v>
      </c>
      <c r="Q114" s="3" t="n">
        <v>674</v>
      </c>
      <c r="R114" s="2" t="n">
        <v>6.54</v>
      </c>
      <c r="S114" s="2" t="n">
        <v>0</v>
      </c>
      <c r="T114" s="2"/>
      <c r="U114" s="2"/>
      <c r="V114" s="2"/>
      <c r="W114" s="2"/>
      <c r="X114" s="2"/>
      <c r="Y114" s="2" t="n">
        <v>0.7</v>
      </c>
      <c r="Z114" s="2" t="n">
        <v>0.3</v>
      </c>
      <c r="AA114" s="2" t="n">
        <v>0</v>
      </c>
      <c r="AB114" s="2"/>
      <c r="AC114" s="2" t="n">
        <v>8</v>
      </c>
      <c r="AD114" s="2" t="n">
        <v>1.1</v>
      </c>
      <c r="AE114" s="2"/>
      <c r="AF114" s="2" t="n">
        <v>34.6</v>
      </c>
      <c r="AG114" s="2" t="n">
        <v>83.3</v>
      </c>
      <c r="AH114" s="2" t="n">
        <v>2</v>
      </c>
      <c r="AI114" s="2" t="n">
        <v>51.7</v>
      </c>
      <c r="AJ114" s="2" t="n">
        <v>0.1</v>
      </c>
      <c r="AK114" s="2" t="n">
        <v>25</v>
      </c>
      <c r="AL114" s="2"/>
      <c r="AM114" s="2"/>
      <c r="AN114" s="2" t="n">
        <v>5.1</v>
      </c>
      <c r="AO114" s="2" t="n">
        <v>1.1</v>
      </c>
      <c r="AP114" s="2" t="n">
        <v>0.7</v>
      </c>
      <c r="AQ114" s="2" t="n">
        <v>2.7</v>
      </c>
      <c r="AR114" s="2" t="n">
        <v>0.7</v>
      </c>
      <c r="AS114" s="2" t="n">
        <v>5.9</v>
      </c>
      <c r="AT114" s="2" t="n">
        <v>0.7</v>
      </c>
      <c r="AU114" s="2" t="n">
        <v>3.2</v>
      </c>
      <c r="AV114" s="2" t="n">
        <v>0.9</v>
      </c>
      <c r="AW114" s="2" t="n">
        <v>1</v>
      </c>
      <c r="AX114" s="2"/>
      <c r="AY114" s="2"/>
      <c r="AZ114" s="2"/>
      <c r="BA114" s="2"/>
      <c r="BB114" s="2"/>
      <c r="BC114" s="2"/>
      <c r="BD114" s="4" t="s">
        <v>493</v>
      </c>
    </row>
    <row r="115" customFormat="false" ht="15" hidden="false" customHeight="false" outlineLevel="0" collapsed="false">
      <c r="A115" s="2" t="n">
        <v>1175406</v>
      </c>
      <c r="B115" s="2" t="s">
        <v>494</v>
      </c>
      <c r="C115" s="2" t="s">
        <v>445</v>
      </c>
      <c r="D115" s="2" t="s">
        <v>58</v>
      </c>
      <c r="E115" s="2" t="s">
        <v>59</v>
      </c>
      <c r="F115" s="2" t="s">
        <v>102</v>
      </c>
      <c r="G115" s="2" t="s">
        <v>113</v>
      </c>
      <c r="H115" s="2" t="s">
        <v>113</v>
      </c>
      <c r="I115" s="2" t="n">
        <v>11</v>
      </c>
      <c r="J115" s="2" t="n">
        <v>29</v>
      </c>
      <c r="K115" s="2" t="s">
        <v>495</v>
      </c>
      <c r="L115" s="2" t="s">
        <v>67</v>
      </c>
      <c r="M115" s="2" t="n">
        <v>185</v>
      </c>
      <c r="N115" s="3" t="n">
        <v>72000</v>
      </c>
      <c r="O115" s="2"/>
      <c r="P115" s="2" t="n">
        <v>8</v>
      </c>
      <c r="Q115" s="3" t="n">
        <v>245</v>
      </c>
      <c r="R115" s="2"/>
      <c r="S115" s="2"/>
      <c r="T115" s="2" t="n">
        <v>1</v>
      </c>
      <c r="U115" s="2" t="n">
        <v>0</v>
      </c>
      <c r="V115" s="2"/>
      <c r="W115" s="2"/>
      <c r="X115" s="2"/>
      <c r="Y115" s="2"/>
      <c r="Z115" s="2"/>
      <c r="AA115" s="2"/>
      <c r="AB115" s="2" t="n">
        <v>1</v>
      </c>
      <c r="AC115" s="2" t="n">
        <v>4</v>
      </c>
      <c r="AD115" s="2" t="n">
        <v>1.5</v>
      </c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 t="n">
        <v>2</v>
      </c>
      <c r="AX115" s="2"/>
      <c r="AY115" s="2"/>
      <c r="AZ115" s="2"/>
      <c r="BA115" s="2"/>
      <c r="BB115" s="2"/>
      <c r="BC115" s="2"/>
      <c r="BD115" s="4" t="s">
        <v>496</v>
      </c>
    </row>
    <row r="116" customFormat="false" ht="15" hidden="false" customHeight="false" outlineLevel="0" collapsed="false">
      <c r="A116" s="2" t="n">
        <v>1783978</v>
      </c>
      <c r="B116" s="2" t="s">
        <v>497</v>
      </c>
      <c r="C116" s="2" t="s">
        <v>445</v>
      </c>
      <c r="D116" s="2" t="s">
        <v>58</v>
      </c>
      <c r="E116" s="2" t="s">
        <v>59</v>
      </c>
      <c r="F116" s="2" t="s">
        <v>102</v>
      </c>
      <c r="G116" s="2"/>
      <c r="H116" s="2"/>
      <c r="I116" s="2" t="n">
        <v>66</v>
      </c>
      <c r="J116" s="2" t="n">
        <v>18</v>
      </c>
      <c r="K116" s="2" t="s">
        <v>498</v>
      </c>
      <c r="L116" s="2" t="s">
        <v>499</v>
      </c>
      <c r="M116" s="2" t="n">
        <v>178</v>
      </c>
      <c r="N116" s="3"/>
      <c r="O116" s="2"/>
      <c r="P116" s="2"/>
      <c r="Q116" s="3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4" t="s">
        <v>500</v>
      </c>
    </row>
    <row r="117" customFormat="false" ht="15" hidden="false" customHeight="false" outlineLevel="0" collapsed="false">
      <c r="A117" s="2" t="n">
        <v>559158</v>
      </c>
      <c r="B117" s="2" t="s">
        <v>501</v>
      </c>
      <c r="C117" s="2" t="s">
        <v>445</v>
      </c>
      <c r="D117" s="2" t="s">
        <v>58</v>
      </c>
      <c r="E117" s="2" t="s">
        <v>59</v>
      </c>
      <c r="F117" s="2" t="s">
        <v>137</v>
      </c>
      <c r="G117" s="2" t="s">
        <v>147</v>
      </c>
      <c r="H117" s="2" t="s">
        <v>147</v>
      </c>
      <c r="I117" s="2" t="n">
        <v>7</v>
      </c>
      <c r="J117" s="2" t="n">
        <v>30</v>
      </c>
      <c r="K117" s="2" t="s">
        <v>502</v>
      </c>
      <c r="L117" s="2" t="s">
        <v>503</v>
      </c>
      <c r="M117" s="2" t="n">
        <v>175</v>
      </c>
      <c r="N117" s="3" t="n">
        <v>52646</v>
      </c>
      <c r="O117" s="2"/>
      <c r="P117" s="2" t="n">
        <v>22</v>
      </c>
      <c r="Q117" s="3" t="n">
        <v>1779</v>
      </c>
      <c r="R117" s="2" t="n">
        <v>6.93</v>
      </c>
      <c r="S117" s="2" t="n">
        <v>2</v>
      </c>
      <c r="T117" s="2" t="n">
        <v>12</v>
      </c>
      <c r="U117" s="2" t="n">
        <v>0</v>
      </c>
      <c r="V117" s="2" t="n">
        <v>1</v>
      </c>
      <c r="W117" s="2"/>
      <c r="X117" s="2" t="n">
        <v>0.61</v>
      </c>
      <c r="Y117" s="2" t="n">
        <v>2</v>
      </c>
      <c r="Z117" s="2" t="n">
        <v>1.2</v>
      </c>
      <c r="AA117" s="2" t="n">
        <v>30.8</v>
      </c>
      <c r="AB117" s="2" t="n">
        <v>10</v>
      </c>
      <c r="AC117" s="2" t="n">
        <v>14</v>
      </c>
      <c r="AD117" s="2" t="n">
        <v>0.7</v>
      </c>
      <c r="AE117" s="2" t="n">
        <v>2</v>
      </c>
      <c r="AF117" s="2" t="n">
        <v>8.8</v>
      </c>
      <c r="AG117" s="2" t="n">
        <v>71.8</v>
      </c>
      <c r="AH117" s="2" t="n">
        <v>0.2</v>
      </c>
      <c r="AI117" s="2" t="n">
        <v>66.7</v>
      </c>
      <c r="AJ117" s="2" t="n">
        <v>0.3</v>
      </c>
      <c r="AK117" s="2" t="n">
        <v>37.5</v>
      </c>
      <c r="AL117" s="2"/>
      <c r="AM117" s="2"/>
      <c r="AN117" s="2" t="n">
        <v>1</v>
      </c>
      <c r="AO117" s="2" t="n">
        <v>0.5</v>
      </c>
      <c r="AP117" s="2" t="n">
        <v>0.1</v>
      </c>
      <c r="AQ117" s="2" t="n">
        <v>0.4</v>
      </c>
      <c r="AR117" s="2" t="n">
        <v>0.1</v>
      </c>
      <c r="AS117" s="2" t="n">
        <v>1.2</v>
      </c>
      <c r="AT117" s="2" t="n">
        <v>0.3</v>
      </c>
      <c r="AU117" s="2" t="n">
        <v>0.7</v>
      </c>
      <c r="AV117" s="2" t="n">
        <v>1.1</v>
      </c>
      <c r="AW117" s="2" t="n">
        <v>1</v>
      </c>
      <c r="AX117" s="2"/>
      <c r="AY117" s="2"/>
      <c r="AZ117" s="2"/>
      <c r="BA117" s="2"/>
      <c r="BB117" s="2"/>
      <c r="BC117" s="2"/>
      <c r="BD117" s="4" t="s">
        <v>504</v>
      </c>
    </row>
    <row r="118" customFormat="false" ht="15" hidden="false" customHeight="false" outlineLevel="0" collapsed="false">
      <c r="A118" s="2" t="n">
        <v>1042558</v>
      </c>
      <c r="B118" s="2" t="s">
        <v>505</v>
      </c>
      <c r="C118" s="2" t="s">
        <v>445</v>
      </c>
      <c r="D118" s="2" t="s">
        <v>58</v>
      </c>
      <c r="E118" s="2" t="s">
        <v>59</v>
      </c>
      <c r="F118" s="2" t="s">
        <v>137</v>
      </c>
      <c r="G118" s="2" t="s">
        <v>138</v>
      </c>
      <c r="H118" s="2" t="s">
        <v>506</v>
      </c>
      <c r="I118" s="2" t="n">
        <v>32</v>
      </c>
      <c r="J118" s="2" t="n">
        <v>26</v>
      </c>
      <c r="K118" s="2" t="s">
        <v>507</v>
      </c>
      <c r="L118" s="2" t="s">
        <v>89</v>
      </c>
      <c r="M118" s="2" t="n">
        <v>180</v>
      </c>
      <c r="N118" s="3" t="n">
        <v>174171</v>
      </c>
      <c r="O118" s="2"/>
      <c r="P118" s="2" t="n">
        <v>22</v>
      </c>
      <c r="Q118" s="3" t="n">
        <v>1756</v>
      </c>
      <c r="R118" s="2" t="n">
        <v>6.91</v>
      </c>
      <c r="S118" s="2" t="n">
        <v>1</v>
      </c>
      <c r="T118" s="2" t="n">
        <v>2</v>
      </c>
      <c r="U118" s="2" t="n">
        <v>0</v>
      </c>
      <c r="V118" s="2" t="n">
        <v>2</v>
      </c>
      <c r="W118" s="2"/>
      <c r="X118" s="2" t="n">
        <v>0.1</v>
      </c>
      <c r="Y118" s="2" t="n">
        <v>2.7</v>
      </c>
      <c r="Z118" s="2" t="n">
        <v>0.8</v>
      </c>
      <c r="AA118" s="2" t="n">
        <v>3.9</v>
      </c>
      <c r="AB118" s="2" t="n">
        <v>4</v>
      </c>
      <c r="AC118" s="2" t="n">
        <v>21</v>
      </c>
      <c r="AD118" s="2" t="n">
        <v>1.1</v>
      </c>
      <c r="AE118" s="2" t="n">
        <v>1</v>
      </c>
      <c r="AF118" s="2" t="n">
        <v>12.1</v>
      </c>
      <c r="AG118" s="2" t="n">
        <v>71.8</v>
      </c>
      <c r="AH118" s="2" t="n">
        <v>0.2</v>
      </c>
      <c r="AI118" s="2" t="n">
        <v>17.6</v>
      </c>
      <c r="AJ118" s="2" t="n">
        <v>0.9</v>
      </c>
      <c r="AK118" s="2" t="n">
        <v>32.7</v>
      </c>
      <c r="AL118" s="2"/>
      <c r="AM118" s="2"/>
      <c r="AN118" s="2" t="n">
        <v>3.3</v>
      </c>
      <c r="AO118" s="2" t="n">
        <v>1</v>
      </c>
      <c r="AP118" s="2" t="n">
        <v>0.8</v>
      </c>
      <c r="AQ118" s="2" t="n">
        <v>1.4</v>
      </c>
      <c r="AR118" s="2" t="n">
        <v>0.1</v>
      </c>
      <c r="AS118" s="2" t="n">
        <v>3.3</v>
      </c>
      <c r="AT118" s="2" t="n">
        <v>0.8</v>
      </c>
      <c r="AU118" s="2" t="n">
        <v>1.6</v>
      </c>
      <c r="AV118" s="2" t="n">
        <v>1.9</v>
      </c>
      <c r="AW118" s="2" t="n">
        <v>7</v>
      </c>
      <c r="AX118" s="2"/>
      <c r="AY118" s="2"/>
      <c r="AZ118" s="2"/>
      <c r="BA118" s="2"/>
      <c r="BB118" s="2"/>
      <c r="BC118" s="2"/>
      <c r="BD118" s="4" t="s">
        <v>508</v>
      </c>
    </row>
    <row r="119" customFormat="false" ht="15" hidden="false" customHeight="false" outlineLevel="0" collapsed="false">
      <c r="A119" s="2" t="n">
        <v>1060350</v>
      </c>
      <c r="B119" s="2" t="s">
        <v>509</v>
      </c>
      <c r="C119" s="2" t="s">
        <v>445</v>
      </c>
      <c r="D119" s="2" t="s">
        <v>58</v>
      </c>
      <c r="E119" s="2" t="s">
        <v>59</v>
      </c>
      <c r="F119" s="2" t="s">
        <v>137</v>
      </c>
      <c r="G119" s="2" t="s">
        <v>133</v>
      </c>
      <c r="H119" s="2" t="s">
        <v>510</v>
      </c>
      <c r="I119" s="2" t="n">
        <v>10</v>
      </c>
      <c r="J119" s="2" t="n">
        <v>26</v>
      </c>
      <c r="K119" s="2" t="s">
        <v>242</v>
      </c>
      <c r="L119" s="2" t="s">
        <v>511</v>
      </c>
      <c r="M119" s="2" t="n">
        <v>173</v>
      </c>
      <c r="N119" s="3" t="n">
        <v>61751</v>
      </c>
      <c r="O119" s="2"/>
      <c r="P119" s="2" t="n">
        <v>14</v>
      </c>
      <c r="Q119" s="3" t="n">
        <v>949</v>
      </c>
      <c r="R119" s="2" t="n">
        <v>6.59</v>
      </c>
      <c r="S119" s="2" t="n">
        <v>0</v>
      </c>
      <c r="T119" s="2"/>
      <c r="U119" s="2"/>
      <c r="V119" s="2"/>
      <c r="W119" s="2"/>
      <c r="X119" s="2"/>
      <c r="Y119" s="2" t="n">
        <v>1.5</v>
      </c>
      <c r="Z119" s="2" t="n">
        <v>0.2</v>
      </c>
      <c r="AA119" s="2" t="n">
        <v>0</v>
      </c>
      <c r="AB119" s="2"/>
      <c r="AC119" s="2" t="n">
        <v>16</v>
      </c>
      <c r="AD119" s="2" t="n">
        <v>1.5</v>
      </c>
      <c r="AE119" s="2" t="n">
        <v>2</v>
      </c>
      <c r="AF119" s="2" t="n">
        <v>23.3</v>
      </c>
      <c r="AG119" s="2" t="n">
        <v>79.1</v>
      </c>
      <c r="AH119" s="2" t="n">
        <v>1.2</v>
      </c>
      <c r="AI119" s="2" t="n">
        <v>65</v>
      </c>
      <c r="AJ119" s="2" t="n">
        <v>0.3</v>
      </c>
      <c r="AK119" s="2" t="n">
        <v>27.3</v>
      </c>
      <c r="AL119" s="2"/>
      <c r="AM119" s="2"/>
      <c r="AN119" s="2" t="n">
        <v>1.3</v>
      </c>
      <c r="AO119" s="2" t="n">
        <v>0.3</v>
      </c>
      <c r="AP119" s="2" t="n">
        <v>0.4</v>
      </c>
      <c r="AQ119" s="2" t="n">
        <v>0.7</v>
      </c>
      <c r="AR119" s="2"/>
      <c r="AS119" s="2" t="n">
        <v>3.1</v>
      </c>
      <c r="AT119" s="2" t="n">
        <v>0.1</v>
      </c>
      <c r="AU119" s="2" t="n">
        <v>2.3</v>
      </c>
      <c r="AV119" s="2" t="n">
        <v>0.8</v>
      </c>
      <c r="AW119" s="2"/>
      <c r="AX119" s="2"/>
      <c r="AY119" s="2"/>
      <c r="AZ119" s="2"/>
      <c r="BA119" s="2"/>
      <c r="BB119" s="2"/>
      <c r="BC119" s="2"/>
      <c r="BD119" s="4" t="s">
        <v>512</v>
      </c>
    </row>
    <row r="120" customFormat="false" ht="15" hidden="false" customHeight="false" outlineLevel="0" collapsed="false">
      <c r="A120" s="2" t="n">
        <v>749485</v>
      </c>
      <c r="B120" s="2" t="s">
        <v>513</v>
      </c>
      <c r="C120" s="2" t="s">
        <v>445</v>
      </c>
      <c r="D120" s="2" t="s">
        <v>58</v>
      </c>
      <c r="E120" s="2" t="s">
        <v>59</v>
      </c>
      <c r="F120" s="2" t="s">
        <v>137</v>
      </c>
      <c r="G120" s="2" t="s">
        <v>147</v>
      </c>
      <c r="H120" s="2" t="s">
        <v>317</v>
      </c>
      <c r="I120" s="2" t="n">
        <v>9</v>
      </c>
      <c r="J120" s="2" t="n">
        <v>27</v>
      </c>
      <c r="K120" s="2" t="s">
        <v>514</v>
      </c>
      <c r="L120" s="2" t="s">
        <v>110</v>
      </c>
      <c r="M120" s="2" t="n">
        <v>175</v>
      </c>
      <c r="N120" s="3" t="n">
        <v>69870</v>
      </c>
      <c r="O120" s="2"/>
      <c r="P120" s="2" t="n">
        <v>15</v>
      </c>
      <c r="Q120" s="3" t="n">
        <v>518</v>
      </c>
      <c r="R120" s="2" t="n">
        <v>6.3</v>
      </c>
      <c r="S120" s="2" t="n">
        <v>0</v>
      </c>
      <c r="T120" s="2" t="n">
        <v>1</v>
      </c>
      <c r="U120" s="2" t="n">
        <v>0</v>
      </c>
      <c r="V120" s="2" t="n">
        <v>1</v>
      </c>
      <c r="W120" s="2"/>
      <c r="X120" s="2" t="n">
        <v>0.17</v>
      </c>
      <c r="Y120" s="2" t="n">
        <v>2.8</v>
      </c>
      <c r="Z120" s="2" t="n">
        <v>0.7</v>
      </c>
      <c r="AA120" s="2" t="n">
        <v>6.3</v>
      </c>
      <c r="AB120" s="2" t="n">
        <v>2</v>
      </c>
      <c r="AC120" s="2" t="n">
        <v>3</v>
      </c>
      <c r="AD120" s="2" t="n">
        <v>0.5</v>
      </c>
      <c r="AE120" s="2" t="n">
        <v>1</v>
      </c>
      <c r="AF120" s="2" t="n">
        <v>12.5</v>
      </c>
      <c r="AG120" s="2" t="n">
        <v>72.7</v>
      </c>
      <c r="AH120" s="2" t="n">
        <v>0.7</v>
      </c>
      <c r="AI120" s="2" t="n">
        <v>44.4</v>
      </c>
      <c r="AJ120" s="2" t="n">
        <v>0.5</v>
      </c>
      <c r="AK120" s="2" t="n">
        <v>75</v>
      </c>
      <c r="AL120" s="2"/>
      <c r="AM120" s="2"/>
      <c r="AN120" s="2" t="n">
        <v>1</v>
      </c>
      <c r="AO120" s="2" t="n">
        <v>0.2</v>
      </c>
      <c r="AP120" s="2" t="n">
        <v>0.5</v>
      </c>
      <c r="AQ120" s="2" t="n">
        <v>0.3</v>
      </c>
      <c r="AR120" s="2"/>
      <c r="AS120" s="2" t="n">
        <v>1.9</v>
      </c>
      <c r="AT120" s="2" t="n">
        <v>0.2</v>
      </c>
      <c r="AU120" s="2" t="n">
        <v>1.2</v>
      </c>
      <c r="AV120" s="2" t="n">
        <v>0.7</v>
      </c>
      <c r="AW120" s="2"/>
      <c r="AX120" s="2"/>
      <c r="AY120" s="2"/>
      <c r="AZ120" s="2"/>
      <c r="BA120" s="2"/>
      <c r="BB120" s="2"/>
      <c r="BC120" s="2"/>
      <c r="BD120" s="4" t="s">
        <v>515</v>
      </c>
    </row>
    <row r="121" customFormat="false" ht="15" hidden="false" customHeight="false" outlineLevel="0" collapsed="false">
      <c r="A121" s="2" t="n">
        <v>1457710</v>
      </c>
      <c r="B121" s="2" t="s">
        <v>516</v>
      </c>
      <c r="C121" s="2" t="s">
        <v>445</v>
      </c>
      <c r="D121" s="2" t="s">
        <v>58</v>
      </c>
      <c r="E121" s="2" t="s">
        <v>59</v>
      </c>
      <c r="F121" s="2" t="s">
        <v>137</v>
      </c>
      <c r="G121" s="2" t="s">
        <v>133</v>
      </c>
      <c r="H121" s="2" t="s">
        <v>517</v>
      </c>
      <c r="I121" s="2" t="n">
        <v>15</v>
      </c>
      <c r="J121" s="2" t="n">
        <v>26</v>
      </c>
      <c r="K121" s="2" t="s">
        <v>518</v>
      </c>
      <c r="L121" s="2" t="s">
        <v>67</v>
      </c>
      <c r="M121" s="2" t="n">
        <v>173</v>
      </c>
      <c r="N121" s="3" t="n">
        <v>63819</v>
      </c>
      <c r="O121" s="2"/>
      <c r="P121" s="2" t="n">
        <v>17</v>
      </c>
      <c r="Q121" s="3" t="n">
        <v>499</v>
      </c>
      <c r="R121" s="2"/>
      <c r="S121" s="2"/>
      <c r="T121" s="2"/>
      <c r="U121" s="2"/>
      <c r="V121" s="2" t="n">
        <v>1</v>
      </c>
      <c r="W121" s="2"/>
      <c r="X121" s="2"/>
      <c r="Y121" s="2" t="n">
        <v>2</v>
      </c>
      <c r="Z121" s="2" t="n">
        <v>0.5</v>
      </c>
      <c r="AA121" s="2" t="n">
        <v>0</v>
      </c>
      <c r="AB121" s="2" t="n">
        <v>2</v>
      </c>
      <c r="AC121" s="2" t="n">
        <v>10</v>
      </c>
      <c r="AD121" s="2" t="n">
        <v>1.8</v>
      </c>
      <c r="AE121" s="2" t="n">
        <v>1</v>
      </c>
      <c r="AF121" s="2" t="n">
        <v>24.9</v>
      </c>
      <c r="AG121" s="2" t="n">
        <v>78.4</v>
      </c>
      <c r="AH121" s="2" t="n">
        <v>0.9</v>
      </c>
      <c r="AI121" s="2" t="n">
        <v>38.5</v>
      </c>
      <c r="AJ121" s="2" t="n">
        <v>2.2</v>
      </c>
      <c r="AK121" s="2" t="n">
        <v>60</v>
      </c>
      <c r="AL121" s="2"/>
      <c r="AM121" s="2"/>
      <c r="AN121" s="2" t="n">
        <v>1.8</v>
      </c>
      <c r="AO121" s="2" t="n">
        <v>0.9</v>
      </c>
      <c r="AP121" s="2" t="n">
        <v>0.4</v>
      </c>
      <c r="AQ121" s="2" t="n">
        <v>0.5</v>
      </c>
      <c r="AR121" s="2"/>
      <c r="AS121" s="2" t="n">
        <v>5.6</v>
      </c>
      <c r="AT121" s="2" t="n">
        <v>0.7</v>
      </c>
      <c r="AU121" s="2" t="n">
        <v>3.2</v>
      </c>
      <c r="AV121" s="2" t="n">
        <v>2</v>
      </c>
      <c r="AW121" s="2" t="n">
        <v>2</v>
      </c>
      <c r="AX121" s="2"/>
      <c r="AY121" s="2"/>
      <c r="AZ121" s="2"/>
      <c r="BA121" s="2"/>
      <c r="BB121" s="2"/>
      <c r="BC121" s="2"/>
      <c r="BD121" s="4" t="s">
        <v>519</v>
      </c>
    </row>
    <row r="122" customFormat="false" ht="15" hidden="false" customHeight="false" outlineLevel="0" collapsed="false">
      <c r="A122" s="2" t="n">
        <v>799488</v>
      </c>
      <c r="B122" s="2" t="s">
        <v>520</v>
      </c>
      <c r="C122" s="2" t="s">
        <v>445</v>
      </c>
      <c r="D122" s="2" t="s">
        <v>58</v>
      </c>
      <c r="E122" s="2" t="s">
        <v>59</v>
      </c>
      <c r="F122" s="2" t="s">
        <v>137</v>
      </c>
      <c r="G122" s="2" t="s">
        <v>147</v>
      </c>
      <c r="H122" s="2" t="s">
        <v>147</v>
      </c>
      <c r="I122" s="2" t="n">
        <v>26</v>
      </c>
      <c r="J122" s="2" t="n">
        <v>34</v>
      </c>
      <c r="K122" s="2" t="s">
        <v>521</v>
      </c>
      <c r="L122" s="2" t="s">
        <v>522</v>
      </c>
      <c r="M122" s="2" t="n">
        <v>173</v>
      </c>
      <c r="N122" s="3" t="n">
        <v>65600</v>
      </c>
      <c r="O122" s="2"/>
      <c r="P122" s="2" t="n">
        <v>12</v>
      </c>
      <c r="Q122" s="3" t="n">
        <v>353</v>
      </c>
      <c r="R122" s="2"/>
      <c r="S122" s="2"/>
      <c r="T122" s="2" t="n">
        <v>2</v>
      </c>
      <c r="U122" s="2" t="n">
        <v>0</v>
      </c>
      <c r="V122" s="2"/>
      <c r="W122" s="2"/>
      <c r="X122" s="2"/>
      <c r="Y122" s="2"/>
      <c r="Z122" s="2"/>
      <c r="AA122" s="2"/>
      <c r="AB122" s="2" t="n">
        <v>3</v>
      </c>
      <c r="AC122" s="2" t="n">
        <v>3</v>
      </c>
      <c r="AD122" s="2" t="n">
        <v>0.8</v>
      </c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 t="n">
        <v>1</v>
      </c>
      <c r="AX122" s="2"/>
      <c r="AY122" s="2" t="n">
        <v>1</v>
      </c>
      <c r="AZ122" s="2"/>
      <c r="BA122" s="2"/>
      <c r="BB122" s="2"/>
      <c r="BC122" s="2"/>
      <c r="BD122" s="4" t="s">
        <v>523</v>
      </c>
    </row>
    <row r="123" customFormat="false" ht="15" hidden="false" customHeight="false" outlineLevel="0" collapsed="false">
      <c r="A123" s="2" t="n">
        <v>1057344</v>
      </c>
      <c r="B123" s="2" t="s">
        <v>524</v>
      </c>
      <c r="C123" s="2" t="s">
        <v>445</v>
      </c>
      <c r="D123" s="2" t="s">
        <v>58</v>
      </c>
      <c r="E123" s="2" t="s">
        <v>59</v>
      </c>
      <c r="F123" s="2" t="s">
        <v>137</v>
      </c>
      <c r="G123" s="2" t="s">
        <v>133</v>
      </c>
      <c r="H123" s="2" t="s">
        <v>142</v>
      </c>
      <c r="I123" s="2" t="n">
        <v>17</v>
      </c>
      <c r="J123" s="2" t="n">
        <v>30</v>
      </c>
      <c r="K123" s="2" t="s">
        <v>525</v>
      </c>
      <c r="L123" s="2" t="s">
        <v>178</v>
      </c>
      <c r="M123" s="2" t="n">
        <v>175</v>
      </c>
      <c r="N123" s="3" t="n">
        <v>50000</v>
      </c>
      <c r="O123" s="2"/>
      <c r="P123" s="2" t="n">
        <v>8</v>
      </c>
      <c r="Q123" s="3" t="n">
        <v>350</v>
      </c>
      <c r="R123" s="2"/>
      <c r="S123" s="2"/>
      <c r="T123" s="2" t="n">
        <v>1</v>
      </c>
      <c r="U123" s="2" t="n">
        <v>0</v>
      </c>
      <c r="V123" s="2" t="n">
        <v>1</v>
      </c>
      <c r="W123" s="2"/>
      <c r="X123" s="2"/>
      <c r="Y123" s="2"/>
      <c r="Z123" s="2"/>
      <c r="AA123" s="2"/>
      <c r="AB123" s="2"/>
      <c r="AC123" s="2" t="n">
        <v>4</v>
      </c>
      <c r="AD123" s="2" t="n">
        <v>1</v>
      </c>
      <c r="AE123" s="2" t="n">
        <v>1</v>
      </c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4" t="s">
        <v>526</v>
      </c>
    </row>
    <row r="124" customFormat="false" ht="15" hidden="false" customHeight="false" outlineLevel="0" collapsed="false">
      <c r="A124" s="2" t="n">
        <v>1042922</v>
      </c>
      <c r="B124" s="2" t="s">
        <v>527</v>
      </c>
      <c r="C124" s="2" t="s">
        <v>445</v>
      </c>
      <c r="D124" s="2" t="s">
        <v>58</v>
      </c>
      <c r="E124" s="2" t="s">
        <v>59</v>
      </c>
      <c r="F124" s="2" t="s">
        <v>137</v>
      </c>
      <c r="G124" s="2" t="s">
        <v>133</v>
      </c>
      <c r="H124" s="2" t="s">
        <v>133</v>
      </c>
      <c r="I124" s="2" t="n">
        <v>18</v>
      </c>
      <c r="J124" s="2" t="n">
        <v>28</v>
      </c>
      <c r="K124" s="2" t="s">
        <v>528</v>
      </c>
      <c r="L124" s="2" t="s">
        <v>529</v>
      </c>
      <c r="M124" s="2" t="n">
        <v>178</v>
      </c>
      <c r="N124" s="3"/>
      <c r="O124" s="2"/>
      <c r="P124" s="2" t="n">
        <v>9</v>
      </c>
      <c r="Q124" s="3" t="n">
        <v>307</v>
      </c>
      <c r="R124" s="2"/>
      <c r="S124" s="2"/>
      <c r="T124" s="2"/>
      <c r="U124" s="2"/>
      <c r="V124" s="2" t="n">
        <v>2</v>
      </c>
      <c r="W124" s="2"/>
      <c r="X124" s="2"/>
      <c r="Y124" s="2"/>
      <c r="Z124" s="2"/>
      <c r="AA124" s="2"/>
      <c r="AB124" s="2" t="n">
        <v>2</v>
      </c>
      <c r="AC124" s="2" t="n">
        <v>6</v>
      </c>
      <c r="AD124" s="2" t="n">
        <v>1.8</v>
      </c>
      <c r="AE124" s="2" t="n">
        <v>3</v>
      </c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4" t="s">
        <v>530</v>
      </c>
    </row>
    <row r="125" customFormat="false" ht="15" hidden="false" customHeight="false" outlineLevel="0" collapsed="false">
      <c r="A125" s="2" t="n">
        <v>1083799</v>
      </c>
      <c r="B125" s="2" t="s">
        <v>531</v>
      </c>
      <c r="C125" s="2" t="s">
        <v>445</v>
      </c>
      <c r="D125" s="2" t="s">
        <v>58</v>
      </c>
      <c r="E125" s="2" t="s">
        <v>59</v>
      </c>
      <c r="F125" s="2" t="s">
        <v>137</v>
      </c>
      <c r="G125" s="2" t="s">
        <v>138</v>
      </c>
      <c r="H125" s="2" t="s">
        <v>411</v>
      </c>
      <c r="I125" s="2" t="n">
        <v>23</v>
      </c>
      <c r="J125" s="2" t="n">
        <v>26</v>
      </c>
      <c r="K125" s="2" t="s">
        <v>532</v>
      </c>
      <c r="L125" s="2" t="s">
        <v>110</v>
      </c>
      <c r="M125" s="2" t="n">
        <v>183</v>
      </c>
      <c r="N125" s="3"/>
      <c r="O125" s="2"/>
      <c r="P125" s="2" t="n">
        <v>11</v>
      </c>
      <c r="Q125" s="3" t="n">
        <v>269</v>
      </c>
      <c r="R125" s="2"/>
      <c r="S125" s="2"/>
      <c r="T125" s="2" t="n">
        <v>1</v>
      </c>
      <c r="U125" s="2" t="n">
        <v>0</v>
      </c>
      <c r="V125" s="2"/>
      <c r="W125" s="2"/>
      <c r="X125" s="2"/>
      <c r="Y125" s="2"/>
      <c r="Z125" s="2"/>
      <c r="AA125" s="2"/>
      <c r="AB125" s="2"/>
      <c r="AC125" s="2" t="n">
        <v>2</v>
      </c>
      <c r="AD125" s="2" t="n">
        <v>0.7</v>
      </c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 t="n">
        <v>3</v>
      </c>
      <c r="AX125" s="2"/>
      <c r="AY125" s="2"/>
      <c r="AZ125" s="2"/>
      <c r="BA125" s="2"/>
      <c r="BB125" s="2"/>
      <c r="BC125" s="2"/>
      <c r="BD125" s="4" t="s">
        <v>533</v>
      </c>
    </row>
    <row r="126" customFormat="false" ht="15" hidden="false" customHeight="false" outlineLevel="0" collapsed="false">
      <c r="A126" s="2" t="n">
        <v>1959674</v>
      </c>
      <c r="B126" s="2" t="s">
        <v>534</v>
      </c>
      <c r="C126" s="2" t="s">
        <v>445</v>
      </c>
      <c r="D126" s="2" t="s">
        <v>58</v>
      </c>
      <c r="E126" s="2" t="s">
        <v>59</v>
      </c>
      <c r="F126" s="2" t="s">
        <v>137</v>
      </c>
      <c r="G126" s="2" t="s">
        <v>147</v>
      </c>
      <c r="H126" s="2" t="s">
        <v>147</v>
      </c>
      <c r="I126" s="2" t="n">
        <v>19</v>
      </c>
      <c r="J126" s="2" t="n">
        <v>19</v>
      </c>
      <c r="K126" s="2" t="s">
        <v>535</v>
      </c>
      <c r="L126" s="2" t="s">
        <v>89</v>
      </c>
      <c r="M126" s="2"/>
      <c r="N126" s="3"/>
      <c r="O126" s="2"/>
      <c r="P126" s="2" t="n">
        <v>3</v>
      </c>
      <c r="Q126" s="3" t="n">
        <v>81</v>
      </c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 t="n">
        <v>1</v>
      </c>
      <c r="AD126" s="2" t="n">
        <v>1.1</v>
      </c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4" t="s">
        <v>536</v>
      </c>
    </row>
    <row r="127" customFormat="false" ht="15" hidden="false" customHeight="false" outlineLevel="0" collapsed="false">
      <c r="A127" s="2" t="n">
        <v>848040</v>
      </c>
      <c r="B127" s="2" t="s">
        <v>537</v>
      </c>
      <c r="C127" s="2" t="s">
        <v>538</v>
      </c>
      <c r="D127" s="2" t="s">
        <v>341</v>
      </c>
      <c r="E127" s="2" t="s">
        <v>59</v>
      </c>
      <c r="F127" s="2" t="s">
        <v>60</v>
      </c>
      <c r="G127" s="2" t="s">
        <v>61</v>
      </c>
      <c r="H127" s="2" t="s">
        <v>61</v>
      </c>
      <c r="I127" s="2" t="n">
        <v>99</v>
      </c>
      <c r="J127" s="2" t="n">
        <v>28</v>
      </c>
      <c r="K127" s="2" t="s">
        <v>539</v>
      </c>
      <c r="L127" s="2" t="s">
        <v>346</v>
      </c>
      <c r="M127" s="2" t="n">
        <v>191</v>
      </c>
      <c r="N127" s="3" t="n">
        <v>50000</v>
      </c>
      <c r="O127" s="2"/>
      <c r="P127" s="2" t="n">
        <v>16</v>
      </c>
      <c r="Q127" s="3" t="n">
        <v>1417</v>
      </c>
      <c r="R127" s="2" t="n">
        <v>6.59</v>
      </c>
      <c r="S127" s="2" t="n">
        <v>1</v>
      </c>
      <c r="T127" s="2"/>
      <c r="U127" s="2"/>
      <c r="V127" s="2"/>
      <c r="W127" s="2"/>
      <c r="X127" s="2"/>
      <c r="Y127" s="2"/>
      <c r="Z127" s="2"/>
      <c r="AA127" s="2"/>
      <c r="AB127" s="2"/>
      <c r="AC127" s="2" t="n">
        <v>1</v>
      </c>
      <c r="AD127" s="2" t="n">
        <v>0.1</v>
      </c>
      <c r="AE127" s="2"/>
      <c r="AF127" s="2" t="n">
        <v>17.1</v>
      </c>
      <c r="AG127" s="2" t="n">
        <v>70.2</v>
      </c>
      <c r="AH127" s="2"/>
      <c r="AI127" s="2"/>
      <c r="AJ127" s="2" t="n">
        <v>0.1</v>
      </c>
      <c r="AK127" s="2" t="n">
        <v>100</v>
      </c>
      <c r="AL127" s="2"/>
      <c r="AM127" s="2"/>
      <c r="AN127" s="2" t="n">
        <v>1.8</v>
      </c>
      <c r="AO127" s="2" t="n">
        <v>0.1</v>
      </c>
      <c r="AP127" s="2"/>
      <c r="AQ127" s="2" t="n">
        <v>1.8</v>
      </c>
      <c r="AR127" s="2"/>
      <c r="AS127" s="2" t="n">
        <v>9.1</v>
      </c>
      <c r="AT127" s="2"/>
      <c r="AU127" s="2"/>
      <c r="AV127" s="2"/>
      <c r="AW127" s="2"/>
      <c r="AX127" s="2"/>
      <c r="AY127" s="2"/>
      <c r="AZ127" s="2" t="n">
        <v>5</v>
      </c>
      <c r="BA127" s="2" t="n">
        <v>1.4</v>
      </c>
      <c r="BB127" s="2" t="n">
        <v>56.4</v>
      </c>
      <c r="BC127" s="2" t="n">
        <v>1.1</v>
      </c>
      <c r="BD127" s="4" t="s">
        <v>540</v>
      </c>
    </row>
    <row r="128" customFormat="false" ht="15" hidden="false" customHeight="false" outlineLevel="0" collapsed="false">
      <c r="A128" s="2" t="n">
        <v>1172893</v>
      </c>
      <c r="B128" s="2" t="s">
        <v>541</v>
      </c>
      <c r="C128" s="2" t="s">
        <v>538</v>
      </c>
      <c r="D128" s="2" t="s">
        <v>341</v>
      </c>
      <c r="E128" s="2" t="s">
        <v>59</v>
      </c>
      <c r="F128" s="2" t="s">
        <v>60</v>
      </c>
      <c r="G128" s="2" t="s">
        <v>61</v>
      </c>
      <c r="H128" s="2" t="s">
        <v>61</v>
      </c>
      <c r="I128" s="2" t="n">
        <v>1</v>
      </c>
      <c r="J128" s="2" t="n">
        <v>28</v>
      </c>
      <c r="K128" s="2" t="s">
        <v>542</v>
      </c>
      <c r="L128" s="2" t="s">
        <v>346</v>
      </c>
      <c r="M128" s="2" t="n">
        <v>185</v>
      </c>
      <c r="N128" s="3" t="n">
        <v>50000</v>
      </c>
      <c r="O128" s="2"/>
      <c r="P128" s="2" t="n">
        <v>8</v>
      </c>
      <c r="Q128" s="3" t="n">
        <v>653</v>
      </c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 t="n">
        <v>1</v>
      </c>
      <c r="BA128" s="2"/>
      <c r="BB128" s="2"/>
      <c r="BC128" s="2"/>
      <c r="BD128" s="4" t="s">
        <v>543</v>
      </c>
    </row>
    <row r="129" customFormat="false" ht="15" hidden="false" customHeight="false" outlineLevel="0" collapsed="false">
      <c r="A129" s="2" t="n">
        <v>1735919</v>
      </c>
      <c r="B129" s="2" t="s">
        <v>544</v>
      </c>
      <c r="C129" s="2" t="s">
        <v>538</v>
      </c>
      <c r="D129" s="2" t="s">
        <v>341</v>
      </c>
      <c r="E129" s="2" t="s">
        <v>59</v>
      </c>
      <c r="F129" s="2" t="s">
        <v>60</v>
      </c>
      <c r="G129" s="2" t="s">
        <v>61</v>
      </c>
      <c r="H129" s="2" t="s">
        <v>61</v>
      </c>
      <c r="I129" s="2" t="n">
        <v>4</v>
      </c>
      <c r="J129" s="2" t="n">
        <v>22</v>
      </c>
      <c r="K129" s="2" t="s">
        <v>545</v>
      </c>
      <c r="L129" s="2" t="s">
        <v>178</v>
      </c>
      <c r="M129" s="2" t="n">
        <v>188</v>
      </c>
      <c r="N129" s="3"/>
      <c r="O129" s="2"/>
      <c r="P129" s="2" t="n">
        <v>3</v>
      </c>
      <c r="Q129" s="3" t="n">
        <v>270</v>
      </c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 t="n">
        <v>1</v>
      </c>
      <c r="BA129" s="2"/>
      <c r="BB129" s="2"/>
      <c r="BC129" s="2"/>
      <c r="BD129" s="4" t="s">
        <v>546</v>
      </c>
    </row>
    <row r="130" customFormat="false" ht="15" hidden="false" customHeight="false" outlineLevel="0" collapsed="false">
      <c r="A130" s="2" t="n">
        <v>1172158</v>
      </c>
      <c r="B130" s="2" t="s">
        <v>547</v>
      </c>
      <c r="C130" s="2" t="s">
        <v>538</v>
      </c>
      <c r="D130" s="2" t="s">
        <v>341</v>
      </c>
      <c r="E130" s="2" t="s">
        <v>59</v>
      </c>
      <c r="F130" s="2" t="s">
        <v>60</v>
      </c>
      <c r="G130" s="2" t="s">
        <v>61</v>
      </c>
      <c r="H130" s="2" t="s">
        <v>61</v>
      </c>
      <c r="I130" s="2" t="n">
        <v>33</v>
      </c>
      <c r="J130" s="2" t="n">
        <v>23</v>
      </c>
      <c r="K130" s="2" t="s">
        <v>548</v>
      </c>
      <c r="L130" s="2" t="s">
        <v>67</v>
      </c>
      <c r="M130" s="2" t="n">
        <v>188</v>
      </c>
      <c r="N130" s="3"/>
      <c r="O130" s="2"/>
      <c r="P130" s="2"/>
      <c r="Q130" s="3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4" t="s">
        <v>549</v>
      </c>
    </row>
    <row r="131" customFormat="false" ht="15" hidden="false" customHeight="false" outlineLevel="0" collapsed="false">
      <c r="A131" s="2" t="n">
        <v>731364</v>
      </c>
      <c r="B131" s="2" t="s">
        <v>550</v>
      </c>
      <c r="C131" s="2" t="s">
        <v>538</v>
      </c>
      <c r="D131" s="2" t="s">
        <v>341</v>
      </c>
      <c r="E131" s="2" t="s">
        <v>59</v>
      </c>
      <c r="F131" s="2" t="s">
        <v>70</v>
      </c>
      <c r="G131" s="2" t="s">
        <v>75</v>
      </c>
      <c r="H131" s="2" t="s">
        <v>75</v>
      </c>
      <c r="I131" s="2" t="n">
        <v>93</v>
      </c>
      <c r="J131" s="2" t="n">
        <v>33</v>
      </c>
      <c r="K131" s="2" t="s">
        <v>551</v>
      </c>
      <c r="L131" s="2" t="s">
        <v>346</v>
      </c>
      <c r="M131" s="2" t="n">
        <v>187</v>
      </c>
      <c r="N131" s="3" t="n">
        <v>50000</v>
      </c>
      <c r="O131" s="2"/>
      <c r="P131" s="2" t="n">
        <v>24</v>
      </c>
      <c r="Q131" s="3" t="n">
        <v>1968</v>
      </c>
      <c r="R131" s="2" t="n">
        <v>6.84</v>
      </c>
      <c r="S131" s="2" t="n">
        <v>1</v>
      </c>
      <c r="T131" s="2" t="n">
        <v>1</v>
      </c>
      <c r="U131" s="2" t="n">
        <v>1</v>
      </c>
      <c r="V131" s="2"/>
      <c r="W131" s="2"/>
      <c r="X131" s="2" t="n">
        <v>0.05</v>
      </c>
      <c r="Y131" s="2" t="n">
        <v>0.3</v>
      </c>
      <c r="Z131" s="2" t="n">
        <v>0</v>
      </c>
      <c r="AA131" s="2" t="n">
        <v>16.7</v>
      </c>
      <c r="AB131" s="2"/>
      <c r="AC131" s="2" t="n">
        <v>5</v>
      </c>
      <c r="AD131" s="2" t="n">
        <v>0.2</v>
      </c>
      <c r="AE131" s="2"/>
      <c r="AF131" s="2" t="n">
        <v>50.3</v>
      </c>
      <c r="AG131" s="2" t="n">
        <v>86.4</v>
      </c>
      <c r="AH131" s="2" t="n">
        <v>4.3</v>
      </c>
      <c r="AI131" s="2" t="n">
        <v>49.7</v>
      </c>
      <c r="AJ131" s="2" t="n">
        <v>0.1</v>
      </c>
      <c r="AK131" s="2" t="n">
        <v>37.5</v>
      </c>
      <c r="AL131" s="2"/>
      <c r="AM131" s="2"/>
      <c r="AN131" s="2" t="n">
        <v>8.3</v>
      </c>
      <c r="AO131" s="2" t="n">
        <v>1</v>
      </c>
      <c r="AP131" s="2" t="n">
        <v>0.7</v>
      </c>
      <c r="AQ131" s="2" t="n">
        <v>5.7</v>
      </c>
      <c r="AR131" s="2" t="n">
        <v>0.9</v>
      </c>
      <c r="AS131" s="2" t="n">
        <v>3.4</v>
      </c>
      <c r="AT131" s="2"/>
      <c r="AU131" s="2"/>
      <c r="AV131" s="2" t="n">
        <v>1.1</v>
      </c>
      <c r="AW131" s="2" t="n">
        <v>3</v>
      </c>
      <c r="AX131" s="2"/>
      <c r="AY131" s="2"/>
      <c r="AZ131" s="2"/>
      <c r="BA131" s="2"/>
      <c r="BB131" s="2"/>
      <c r="BC131" s="2"/>
      <c r="BD131" s="4" t="s">
        <v>552</v>
      </c>
    </row>
    <row r="132" customFormat="false" ht="15" hidden="false" customHeight="false" outlineLevel="0" collapsed="false">
      <c r="A132" s="2" t="n">
        <v>890403</v>
      </c>
      <c r="B132" s="2" t="s">
        <v>553</v>
      </c>
      <c r="C132" s="2" t="s">
        <v>538</v>
      </c>
      <c r="D132" s="2" t="s">
        <v>341</v>
      </c>
      <c r="E132" s="2" t="s">
        <v>59</v>
      </c>
      <c r="F132" s="2" t="s">
        <v>70</v>
      </c>
      <c r="G132" s="2" t="s">
        <v>75</v>
      </c>
      <c r="H132" s="2" t="s">
        <v>352</v>
      </c>
      <c r="I132" s="2" t="n">
        <v>21</v>
      </c>
      <c r="J132" s="2" t="n">
        <v>30</v>
      </c>
      <c r="K132" s="2" t="s">
        <v>554</v>
      </c>
      <c r="L132" s="2" t="s">
        <v>67</v>
      </c>
      <c r="M132" s="2" t="n">
        <v>185</v>
      </c>
      <c r="N132" s="3" t="n">
        <v>50000</v>
      </c>
      <c r="O132" s="2"/>
      <c r="P132" s="2" t="n">
        <v>18</v>
      </c>
      <c r="Q132" s="3" t="n">
        <v>1444</v>
      </c>
      <c r="R132" s="2" t="n">
        <v>6.92</v>
      </c>
      <c r="S132" s="2" t="n">
        <v>0</v>
      </c>
      <c r="T132" s="2"/>
      <c r="U132" s="2"/>
      <c r="V132" s="2" t="n">
        <v>1</v>
      </c>
      <c r="W132" s="2"/>
      <c r="X132" s="2"/>
      <c r="Y132" s="2" t="n">
        <v>0.4</v>
      </c>
      <c r="Z132" s="2" t="n">
        <v>0.1</v>
      </c>
      <c r="AA132" s="2" t="n">
        <v>0</v>
      </c>
      <c r="AB132" s="2"/>
      <c r="AC132" s="2" t="n">
        <v>3</v>
      </c>
      <c r="AD132" s="2" t="n">
        <v>0.2</v>
      </c>
      <c r="AE132" s="2" t="n">
        <v>1</v>
      </c>
      <c r="AF132" s="2" t="n">
        <v>32.7</v>
      </c>
      <c r="AG132" s="2" t="n">
        <v>84</v>
      </c>
      <c r="AH132" s="2" t="n">
        <v>1.9</v>
      </c>
      <c r="AI132" s="2" t="n">
        <v>34.9</v>
      </c>
      <c r="AJ132" s="2" t="n">
        <v>0.2</v>
      </c>
      <c r="AK132" s="2" t="n">
        <v>80</v>
      </c>
      <c r="AL132" s="2"/>
      <c r="AM132" s="2"/>
      <c r="AN132" s="2" t="n">
        <v>7.4</v>
      </c>
      <c r="AO132" s="2" t="n">
        <v>1</v>
      </c>
      <c r="AP132" s="2" t="n">
        <v>1.7</v>
      </c>
      <c r="AQ132" s="2" t="n">
        <v>4.3</v>
      </c>
      <c r="AR132" s="2" t="n">
        <v>0.4</v>
      </c>
      <c r="AS132" s="2" t="n">
        <v>3</v>
      </c>
      <c r="AT132" s="2"/>
      <c r="AU132" s="2"/>
      <c r="AV132" s="2" t="n">
        <v>0.6</v>
      </c>
      <c r="AW132" s="2" t="n">
        <v>4</v>
      </c>
      <c r="AX132" s="2"/>
      <c r="AY132" s="2"/>
      <c r="AZ132" s="2"/>
      <c r="BA132" s="2"/>
      <c r="BB132" s="2"/>
      <c r="BC132" s="2"/>
      <c r="BD132" s="4" t="s">
        <v>555</v>
      </c>
    </row>
    <row r="133" customFormat="false" ht="15" hidden="false" customHeight="false" outlineLevel="0" collapsed="false">
      <c r="A133" s="2" t="n">
        <v>418257</v>
      </c>
      <c r="B133" s="2" t="s">
        <v>556</v>
      </c>
      <c r="C133" s="2" t="s">
        <v>538</v>
      </c>
      <c r="D133" s="2" t="s">
        <v>341</v>
      </c>
      <c r="E133" s="2" t="s">
        <v>59</v>
      </c>
      <c r="F133" s="2" t="s">
        <v>70</v>
      </c>
      <c r="G133" s="2" t="s">
        <v>75</v>
      </c>
      <c r="H133" s="2" t="s">
        <v>75</v>
      </c>
      <c r="I133" s="2" t="n">
        <v>25</v>
      </c>
      <c r="J133" s="2" t="n">
        <v>34</v>
      </c>
      <c r="K133" s="2" t="s">
        <v>557</v>
      </c>
      <c r="L133" s="2" t="s">
        <v>346</v>
      </c>
      <c r="M133" s="2" t="n">
        <v>183</v>
      </c>
      <c r="N133" s="3" t="n">
        <v>50000</v>
      </c>
      <c r="O133" s="2"/>
      <c r="P133" s="2" t="n">
        <v>19</v>
      </c>
      <c r="Q133" s="3" t="n">
        <v>1314</v>
      </c>
      <c r="R133" s="2" t="n">
        <v>6.98</v>
      </c>
      <c r="S133" s="2" t="n">
        <v>1</v>
      </c>
      <c r="T133" s="2"/>
      <c r="U133" s="2"/>
      <c r="V133" s="2" t="n">
        <v>2</v>
      </c>
      <c r="W133" s="2"/>
      <c r="X133" s="2"/>
      <c r="Y133" s="2" t="n">
        <v>0.9</v>
      </c>
      <c r="Z133" s="2" t="n">
        <v>0.1</v>
      </c>
      <c r="AA133" s="2" t="n">
        <v>0</v>
      </c>
      <c r="AB133" s="2" t="n">
        <v>1</v>
      </c>
      <c r="AC133" s="2" t="n">
        <v>6</v>
      </c>
      <c r="AD133" s="2" t="n">
        <v>0.4</v>
      </c>
      <c r="AE133" s="2" t="n">
        <v>1</v>
      </c>
      <c r="AF133" s="2" t="n">
        <v>45.7</v>
      </c>
      <c r="AG133" s="2" t="n">
        <v>83.4</v>
      </c>
      <c r="AH133" s="2" t="n">
        <v>5.8</v>
      </c>
      <c r="AI133" s="2" t="n">
        <v>53.8</v>
      </c>
      <c r="AJ133" s="2" t="n">
        <v>0.6</v>
      </c>
      <c r="AK133" s="2" t="n">
        <v>90</v>
      </c>
      <c r="AL133" s="2"/>
      <c r="AM133" s="2"/>
      <c r="AN133" s="2" t="n">
        <v>9.7</v>
      </c>
      <c r="AO133" s="2" t="n">
        <v>1.9</v>
      </c>
      <c r="AP133" s="2" t="n">
        <v>1.5</v>
      </c>
      <c r="AQ133" s="2" t="n">
        <v>5.8</v>
      </c>
      <c r="AR133" s="2" t="n">
        <v>0.5</v>
      </c>
      <c r="AS133" s="2" t="n">
        <v>3.4</v>
      </c>
      <c r="AT133" s="2"/>
      <c r="AU133" s="2"/>
      <c r="AV133" s="2" t="n">
        <v>1.2</v>
      </c>
      <c r="AW133" s="2" t="n">
        <v>8</v>
      </c>
      <c r="AX133" s="2" t="n">
        <v>1</v>
      </c>
      <c r="AY133" s="2"/>
      <c r="AZ133" s="2"/>
      <c r="BA133" s="2"/>
      <c r="BB133" s="2"/>
      <c r="BC133" s="2"/>
      <c r="BD133" s="4" t="s">
        <v>558</v>
      </c>
    </row>
    <row r="134" customFormat="false" ht="15" hidden="false" customHeight="false" outlineLevel="0" collapsed="false">
      <c r="A134" s="2" t="n">
        <v>1259935</v>
      </c>
      <c r="B134" s="2" t="s">
        <v>559</v>
      </c>
      <c r="C134" s="2" t="s">
        <v>538</v>
      </c>
      <c r="D134" s="2" t="s">
        <v>341</v>
      </c>
      <c r="E134" s="2" t="s">
        <v>59</v>
      </c>
      <c r="F134" s="2" t="s">
        <v>70</v>
      </c>
      <c r="G134" s="2" t="s">
        <v>71</v>
      </c>
      <c r="H134" s="2" t="s">
        <v>560</v>
      </c>
      <c r="I134" s="2" t="n">
        <v>12</v>
      </c>
      <c r="J134" s="2" t="n">
        <v>29</v>
      </c>
      <c r="K134" s="2" t="s">
        <v>561</v>
      </c>
      <c r="L134" s="2" t="s">
        <v>67</v>
      </c>
      <c r="M134" s="2" t="n">
        <v>170</v>
      </c>
      <c r="N134" s="3" t="n">
        <v>50000</v>
      </c>
      <c r="O134" s="2"/>
      <c r="P134" s="2" t="n">
        <v>21</v>
      </c>
      <c r="Q134" s="3" t="n">
        <v>1175</v>
      </c>
      <c r="R134" s="2" t="n">
        <v>6.49</v>
      </c>
      <c r="S134" s="2" t="n">
        <v>0</v>
      </c>
      <c r="T134" s="2"/>
      <c r="U134" s="2"/>
      <c r="V134" s="2" t="n">
        <v>1</v>
      </c>
      <c r="W134" s="2"/>
      <c r="X134" s="2"/>
      <c r="Y134" s="2" t="n">
        <v>0.7</v>
      </c>
      <c r="Z134" s="2" t="n">
        <v>0.2</v>
      </c>
      <c r="AA134" s="2" t="n">
        <v>0</v>
      </c>
      <c r="AB134" s="2" t="n">
        <v>1</v>
      </c>
      <c r="AC134" s="2" t="n">
        <v>15</v>
      </c>
      <c r="AD134" s="2" t="n">
        <v>1.1</v>
      </c>
      <c r="AE134" s="2" t="n">
        <v>3</v>
      </c>
      <c r="AF134" s="2" t="n">
        <v>33.6</v>
      </c>
      <c r="AG134" s="2" t="n">
        <v>78.4</v>
      </c>
      <c r="AH134" s="2" t="n">
        <v>3.9</v>
      </c>
      <c r="AI134" s="2" t="n">
        <v>47.7</v>
      </c>
      <c r="AJ134" s="2"/>
      <c r="AK134" s="2"/>
      <c r="AL134" s="2"/>
      <c r="AM134" s="2"/>
      <c r="AN134" s="2" t="n">
        <v>5.6</v>
      </c>
      <c r="AO134" s="2" t="n">
        <v>1</v>
      </c>
      <c r="AP134" s="2" t="n">
        <v>0.8</v>
      </c>
      <c r="AQ134" s="2" t="n">
        <v>3.6</v>
      </c>
      <c r="AR134" s="2" t="n">
        <v>0.2</v>
      </c>
      <c r="AS134" s="2" t="n">
        <v>3.1</v>
      </c>
      <c r="AT134" s="2" t="n">
        <v>0.2</v>
      </c>
      <c r="AU134" s="2" t="n">
        <v>1.1</v>
      </c>
      <c r="AV134" s="2" t="n">
        <v>2</v>
      </c>
      <c r="AW134" s="2" t="n">
        <v>4</v>
      </c>
      <c r="AX134" s="2"/>
      <c r="AY134" s="2" t="n">
        <v>1</v>
      </c>
      <c r="AZ134" s="2"/>
      <c r="BA134" s="2"/>
      <c r="BB134" s="2"/>
      <c r="BC134" s="2"/>
      <c r="BD134" s="4" t="s">
        <v>562</v>
      </c>
    </row>
    <row r="135" customFormat="false" ht="15" hidden="false" customHeight="false" outlineLevel="0" collapsed="false">
      <c r="A135" s="2" t="n">
        <v>1250345</v>
      </c>
      <c r="B135" s="2" t="s">
        <v>563</v>
      </c>
      <c r="C135" s="2" t="s">
        <v>538</v>
      </c>
      <c r="D135" s="2" t="s">
        <v>341</v>
      </c>
      <c r="E135" s="2" t="s">
        <v>59</v>
      </c>
      <c r="F135" s="2" t="s">
        <v>70</v>
      </c>
      <c r="G135" s="2" t="s">
        <v>92</v>
      </c>
      <c r="H135" s="2" t="s">
        <v>564</v>
      </c>
      <c r="I135" s="2" t="n">
        <v>18</v>
      </c>
      <c r="J135" s="2" t="n">
        <v>27</v>
      </c>
      <c r="K135" s="2" t="s">
        <v>565</v>
      </c>
      <c r="L135" s="2" t="s">
        <v>67</v>
      </c>
      <c r="M135" s="2" t="n">
        <v>175</v>
      </c>
      <c r="N135" s="3" t="n">
        <v>50000</v>
      </c>
      <c r="O135" s="2"/>
      <c r="P135" s="2" t="n">
        <v>18</v>
      </c>
      <c r="Q135" s="3" t="n">
        <v>1109</v>
      </c>
      <c r="R135" s="2" t="n">
        <v>6.7</v>
      </c>
      <c r="S135" s="2" t="n">
        <v>1</v>
      </c>
      <c r="T135" s="2" t="n">
        <v>1</v>
      </c>
      <c r="U135" s="2" t="n">
        <v>0</v>
      </c>
      <c r="V135" s="2" t="n">
        <v>1</v>
      </c>
      <c r="W135" s="2"/>
      <c r="X135" s="2" t="n">
        <v>0.08</v>
      </c>
      <c r="Y135" s="2" t="n">
        <v>0.8</v>
      </c>
      <c r="Z135" s="2" t="n">
        <v>0.3</v>
      </c>
      <c r="AA135" s="2" t="n">
        <v>10</v>
      </c>
      <c r="AB135" s="2"/>
      <c r="AC135" s="2" t="n">
        <v>16</v>
      </c>
      <c r="AD135" s="2" t="n">
        <v>1.3</v>
      </c>
      <c r="AE135" s="2" t="n">
        <v>5</v>
      </c>
      <c r="AF135" s="2" t="n">
        <v>29.5</v>
      </c>
      <c r="AG135" s="2" t="n">
        <v>74.7</v>
      </c>
      <c r="AH135" s="2" t="n">
        <v>1.9</v>
      </c>
      <c r="AI135" s="2" t="n">
        <v>39.3</v>
      </c>
      <c r="AJ135" s="2" t="n">
        <v>0.7</v>
      </c>
      <c r="AK135" s="2" t="n">
        <v>42.9</v>
      </c>
      <c r="AL135" s="2" t="n">
        <v>1</v>
      </c>
      <c r="AM135" s="2" t="n">
        <v>1.1</v>
      </c>
      <c r="AN135" s="2" t="n">
        <v>4.5</v>
      </c>
      <c r="AO135" s="2" t="n">
        <v>2.1</v>
      </c>
      <c r="AP135" s="2" t="n">
        <v>1.6</v>
      </c>
      <c r="AQ135" s="2" t="n">
        <v>0.6</v>
      </c>
      <c r="AR135" s="2" t="n">
        <v>0.1</v>
      </c>
      <c r="AS135" s="2" t="n">
        <v>2.9</v>
      </c>
      <c r="AT135" s="2" t="n">
        <v>0.2</v>
      </c>
      <c r="AU135" s="2" t="n">
        <v>1.1</v>
      </c>
      <c r="AV135" s="2" t="n">
        <v>1</v>
      </c>
      <c r="AW135" s="2" t="n">
        <v>2</v>
      </c>
      <c r="AX135" s="2"/>
      <c r="AY135" s="2"/>
      <c r="AZ135" s="2"/>
      <c r="BA135" s="2"/>
      <c r="BB135" s="2"/>
      <c r="BC135" s="2"/>
      <c r="BD135" s="4" t="s">
        <v>566</v>
      </c>
    </row>
    <row r="136" customFormat="false" ht="15" hidden="false" customHeight="false" outlineLevel="0" collapsed="false">
      <c r="A136" s="2" t="n">
        <v>1455534</v>
      </c>
      <c r="B136" s="2" t="s">
        <v>567</v>
      </c>
      <c r="C136" s="2" t="s">
        <v>538</v>
      </c>
      <c r="D136" s="2" t="s">
        <v>341</v>
      </c>
      <c r="E136" s="2" t="s">
        <v>59</v>
      </c>
      <c r="F136" s="2" t="s">
        <v>70</v>
      </c>
      <c r="G136" s="2" t="s">
        <v>75</v>
      </c>
      <c r="H136" s="2" t="s">
        <v>75</v>
      </c>
      <c r="I136" s="2" t="n">
        <v>15</v>
      </c>
      <c r="J136" s="2" t="n">
        <v>26</v>
      </c>
      <c r="K136" s="2" t="s">
        <v>568</v>
      </c>
      <c r="L136" s="2" t="s">
        <v>569</v>
      </c>
      <c r="M136" s="2" t="n">
        <v>193</v>
      </c>
      <c r="N136" s="3" t="n">
        <v>102594</v>
      </c>
      <c r="O136" s="2"/>
      <c r="P136" s="2" t="n">
        <v>16</v>
      </c>
      <c r="Q136" s="3" t="n">
        <v>978</v>
      </c>
      <c r="R136" s="2" t="n">
        <v>6.57</v>
      </c>
      <c r="S136" s="2" t="n">
        <v>1</v>
      </c>
      <c r="T136" s="2" t="n">
        <v>1</v>
      </c>
      <c r="U136" s="2" t="n">
        <v>0</v>
      </c>
      <c r="V136" s="2"/>
      <c r="W136" s="2"/>
      <c r="X136" s="2" t="n">
        <v>0.09</v>
      </c>
      <c r="Y136" s="2" t="n">
        <v>0.5</v>
      </c>
      <c r="Z136" s="2" t="n">
        <v>0.1</v>
      </c>
      <c r="AA136" s="2" t="n">
        <v>20</v>
      </c>
      <c r="AB136" s="2"/>
      <c r="AC136" s="2" t="n">
        <v>1</v>
      </c>
      <c r="AD136" s="2" t="n">
        <v>0.1</v>
      </c>
      <c r="AE136" s="2"/>
      <c r="AF136" s="2" t="n">
        <v>36.4</v>
      </c>
      <c r="AG136" s="2" t="n">
        <v>83</v>
      </c>
      <c r="AH136" s="2" t="n">
        <v>2.5</v>
      </c>
      <c r="AI136" s="2" t="n">
        <v>42.9</v>
      </c>
      <c r="AJ136" s="2"/>
      <c r="AK136" s="2"/>
      <c r="AL136" s="2"/>
      <c r="AM136" s="2"/>
      <c r="AN136" s="2" t="n">
        <v>8</v>
      </c>
      <c r="AO136" s="2" t="n">
        <v>0.7</v>
      </c>
      <c r="AP136" s="2" t="n">
        <v>1.2</v>
      </c>
      <c r="AQ136" s="2" t="n">
        <v>5.3</v>
      </c>
      <c r="AR136" s="2" t="n">
        <v>0.7</v>
      </c>
      <c r="AS136" s="2" t="n">
        <v>2.2</v>
      </c>
      <c r="AT136" s="2" t="n">
        <v>0.1</v>
      </c>
      <c r="AU136" s="2" t="n">
        <v>1.1</v>
      </c>
      <c r="AV136" s="2" t="n">
        <v>1.7</v>
      </c>
      <c r="AW136" s="2" t="n">
        <v>3</v>
      </c>
      <c r="AX136" s="2"/>
      <c r="AY136" s="2"/>
      <c r="AZ136" s="2"/>
      <c r="BA136" s="2"/>
      <c r="BB136" s="2"/>
      <c r="BC136" s="2"/>
      <c r="BD136" s="4" t="s">
        <v>570</v>
      </c>
    </row>
    <row r="137" customFormat="false" ht="15" hidden="false" customHeight="false" outlineLevel="0" collapsed="false">
      <c r="A137" s="2" t="n">
        <v>1240356</v>
      </c>
      <c r="B137" s="2" t="s">
        <v>571</v>
      </c>
      <c r="C137" s="2" t="s">
        <v>538</v>
      </c>
      <c r="D137" s="2" t="s">
        <v>341</v>
      </c>
      <c r="E137" s="2" t="s">
        <v>59</v>
      </c>
      <c r="F137" s="2" t="s">
        <v>70</v>
      </c>
      <c r="G137" s="2" t="s">
        <v>75</v>
      </c>
      <c r="H137" s="2" t="s">
        <v>572</v>
      </c>
      <c r="I137" s="2" t="n">
        <v>2</v>
      </c>
      <c r="J137" s="2" t="n">
        <v>27</v>
      </c>
      <c r="K137" s="2" t="s">
        <v>573</v>
      </c>
      <c r="L137" s="2" t="s">
        <v>214</v>
      </c>
      <c r="M137" s="2" t="n">
        <v>183</v>
      </c>
      <c r="N137" s="3" t="n">
        <v>151912</v>
      </c>
      <c r="O137" s="2"/>
      <c r="P137" s="2" t="n">
        <v>15</v>
      </c>
      <c r="Q137" s="3" t="n">
        <v>957</v>
      </c>
      <c r="R137" s="2" t="n">
        <v>6.84</v>
      </c>
      <c r="S137" s="2" t="n">
        <v>0</v>
      </c>
      <c r="T137" s="2"/>
      <c r="U137" s="2"/>
      <c r="V137" s="2" t="n">
        <v>1</v>
      </c>
      <c r="W137" s="2"/>
      <c r="X137" s="2"/>
      <c r="Y137" s="2" t="n">
        <v>0.2</v>
      </c>
      <c r="Z137" s="2" t="n">
        <v>0.1</v>
      </c>
      <c r="AA137" s="2" t="n">
        <v>0</v>
      </c>
      <c r="AB137" s="2"/>
      <c r="AC137" s="2" t="n">
        <v>9</v>
      </c>
      <c r="AD137" s="2" t="n">
        <v>0.8</v>
      </c>
      <c r="AE137" s="2" t="n">
        <v>1</v>
      </c>
      <c r="AF137" s="2" t="n">
        <v>31.2</v>
      </c>
      <c r="AG137" s="2" t="n">
        <v>79.6</v>
      </c>
      <c r="AH137" s="2" t="n">
        <v>2.6</v>
      </c>
      <c r="AI137" s="2" t="n">
        <v>43.1</v>
      </c>
      <c r="AJ137" s="2"/>
      <c r="AK137" s="2"/>
      <c r="AL137" s="2"/>
      <c r="AM137" s="2"/>
      <c r="AN137" s="2" t="n">
        <v>7.4</v>
      </c>
      <c r="AO137" s="2" t="n">
        <v>1.9</v>
      </c>
      <c r="AP137" s="2" t="n">
        <v>1.1</v>
      </c>
      <c r="AQ137" s="2" t="n">
        <v>3.9</v>
      </c>
      <c r="AR137" s="2" t="n">
        <v>0.6</v>
      </c>
      <c r="AS137" s="2" t="n">
        <v>3</v>
      </c>
      <c r="AT137" s="2" t="n">
        <v>0.4</v>
      </c>
      <c r="AU137" s="2" t="n">
        <v>0.8</v>
      </c>
      <c r="AV137" s="2" t="n">
        <v>0.4</v>
      </c>
      <c r="AW137" s="2" t="n">
        <v>1</v>
      </c>
      <c r="AX137" s="2"/>
      <c r="AY137" s="2"/>
      <c r="AZ137" s="2"/>
      <c r="BA137" s="2"/>
      <c r="BB137" s="2"/>
      <c r="BC137" s="2"/>
      <c r="BD137" s="4" t="s">
        <v>574</v>
      </c>
    </row>
    <row r="138" customFormat="false" ht="15" hidden="false" customHeight="false" outlineLevel="0" collapsed="false">
      <c r="A138" s="2" t="n">
        <v>1724673</v>
      </c>
      <c r="B138" s="2" t="s">
        <v>575</v>
      </c>
      <c r="C138" s="2" t="s">
        <v>538</v>
      </c>
      <c r="D138" s="2" t="s">
        <v>341</v>
      </c>
      <c r="E138" s="2" t="s">
        <v>59</v>
      </c>
      <c r="F138" s="2" t="s">
        <v>70</v>
      </c>
      <c r="G138" s="2" t="s">
        <v>92</v>
      </c>
      <c r="H138" s="2" t="s">
        <v>92</v>
      </c>
      <c r="I138" s="2" t="n">
        <v>29</v>
      </c>
      <c r="J138" s="2" t="n">
        <v>17</v>
      </c>
      <c r="K138" s="2" t="s">
        <v>576</v>
      </c>
      <c r="L138" s="2" t="s">
        <v>67</v>
      </c>
      <c r="M138" s="2" t="n">
        <v>188</v>
      </c>
      <c r="N138" s="3" t="n">
        <v>337974</v>
      </c>
      <c r="O138" s="2"/>
      <c r="P138" s="2" t="n">
        <v>11</v>
      </c>
      <c r="Q138" s="3" t="n">
        <v>499</v>
      </c>
      <c r="R138" s="2"/>
      <c r="S138" s="2"/>
      <c r="T138" s="2"/>
      <c r="U138" s="2"/>
      <c r="V138" s="2" t="n">
        <v>1</v>
      </c>
      <c r="W138" s="2"/>
      <c r="X138" s="2"/>
      <c r="Y138" s="2"/>
      <c r="Z138" s="2"/>
      <c r="AA138" s="2"/>
      <c r="AB138" s="2" t="n">
        <v>1</v>
      </c>
      <c r="AC138" s="2" t="n">
        <v>2</v>
      </c>
      <c r="AD138" s="2" t="n">
        <v>0.4</v>
      </c>
      <c r="AE138" s="2" t="n">
        <v>1</v>
      </c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 t="n">
        <v>1</v>
      </c>
      <c r="AX138" s="2"/>
      <c r="AY138" s="2"/>
      <c r="AZ138" s="2"/>
      <c r="BA138" s="2"/>
      <c r="BB138" s="2"/>
      <c r="BC138" s="2"/>
      <c r="BD138" s="4" t="s">
        <v>577</v>
      </c>
    </row>
    <row r="139" customFormat="false" ht="15" hidden="false" customHeight="false" outlineLevel="0" collapsed="false">
      <c r="A139" s="2" t="n">
        <v>1107287</v>
      </c>
      <c r="B139" s="2" t="s">
        <v>578</v>
      </c>
      <c r="C139" s="2" t="s">
        <v>538</v>
      </c>
      <c r="D139" s="2" t="s">
        <v>341</v>
      </c>
      <c r="E139" s="2" t="s">
        <v>59</v>
      </c>
      <c r="F139" s="2" t="s">
        <v>70</v>
      </c>
      <c r="G139" s="2" t="s">
        <v>75</v>
      </c>
      <c r="H139" s="2" t="s">
        <v>579</v>
      </c>
      <c r="I139" s="2" t="n">
        <v>8</v>
      </c>
      <c r="J139" s="2" t="n">
        <v>24</v>
      </c>
      <c r="K139" s="2" t="s">
        <v>209</v>
      </c>
      <c r="L139" s="2" t="s">
        <v>149</v>
      </c>
      <c r="M139" s="2" t="n">
        <v>182</v>
      </c>
      <c r="N139" s="3" t="n">
        <v>69402</v>
      </c>
      <c r="O139" s="2"/>
      <c r="P139" s="2" t="n">
        <v>12</v>
      </c>
      <c r="Q139" s="3" t="n">
        <v>374</v>
      </c>
      <c r="R139" s="2"/>
      <c r="S139" s="2"/>
      <c r="T139" s="2" t="n">
        <v>1</v>
      </c>
      <c r="U139" s="2" t="n">
        <v>0</v>
      </c>
      <c r="V139" s="2"/>
      <c r="W139" s="2"/>
      <c r="X139" s="2"/>
      <c r="Y139" s="2"/>
      <c r="Z139" s="2"/>
      <c r="AA139" s="2"/>
      <c r="AB139" s="2"/>
      <c r="AC139" s="2" t="n">
        <v>3</v>
      </c>
      <c r="AD139" s="2" t="n">
        <v>0.7</v>
      </c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 t="n">
        <v>1</v>
      </c>
      <c r="AX139" s="2"/>
      <c r="AY139" s="2"/>
      <c r="AZ139" s="2"/>
      <c r="BA139" s="2"/>
      <c r="BB139" s="2"/>
      <c r="BC139" s="2"/>
      <c r="BD139" s="4" t="s">
        <v>580</v>
      </c>
    </row>
    <row r="140" customFormat="false" ht="15" hidden="false" customHeight="false" outlineLevel="0" collapsed="false">
      <c r="A140" s="2" t="n">
        <v>1078650</v>
      </c>
      <c r="B140" s="2" t="s">
        <v>581</v>
      </c>
      <c r="C140" s="2" t="s">
        <v>538</v>
      </c>
      <c r="D140" s="2" t="s">
        <v>341</v>
      </c>
      <c r="E140" s="2" t="s">
        <v>59</v>
      </c>
      <c r="F140" s="2" t="s">
        <v>70</v>
      </c>
      <c r="G140" s="2" t="s">
        <v>92</v>
      </c>
      <c r="H140" s="2" t="s">
        <v>92</v>
      </c>
      <c r="I140" s="2" t="n">
        <v>23</v>
      </c>
      <c r="J140" s="2" t="n">
        <v>30</v>
      </c>
      <c r="K140" s="2" t="s">
        <v>582</v>
      </c>
      <c r="L140" s="2" t="s">
        <v>67</v>
      </c>
      <c r="M140" s="2" t="n">
        <v>170</v>
      </c>
      <c r="N140" s="3" t="n">
        <v>50000</v>
      </c>
      <c r="O140" s="2"/>
      <c r="P140" s="2" t="n">
        <v>9</v>
      </c>
      <c r="Q140" s="3" t="n">
        <v>188</v>
      </c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 t="n">
        <v>3</v>
      </c>
      <c r="AD140" s="2" t="n">
        <v>1.4</v>
      </c>
      <c r="AE140" s="2" t="n">
        <v>1</v>
      </c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4" t="s">
        <v>583</v>
      </c>
    </row>
    <row r="141" customFormat="false" ht="15" hidden="false" customHeight="false" outlineLevel="0" collapsed="false">
      <c r="A141" s="2" t="n">
        <v>1793923</v>
      </c>
      <c r="B141" s="2" t="s">
        <v>584</v>
      </c>
      <c r="C141" s="2" t="s">
        <v>538</v>
      </c>
      <c r="D141" s="2" t="s">
        <v>341</v>
      </c>
      <c r="E141" s="2" t="s">
        <v>59</v>
      </c>
      <c r="F141" s="2" t="s">
        <v>70</v>
      </c>
      <c r="G141" s="2"/>
      <c r="H141" s="2"/>
      <c r="I141" s="2" t="n">
        <v>77</v>
      </c>
      <c r="J141" s="2" t="n">
        <v>19</v>
      </c>
      <c r="K141" s="2" t="s">
        <v>585</v>
      </c>
      <c r="L141" s="2" t="s">
        <v>67</v>
      </c>
      <c r="M141" s="2" t="n">
        <v>170</v>
      </c>
      <c r="N141" s="3"/>
      <c r="O141" s="2"/>
      <c r="P141" s="2"/>
      <c r="Q141" s="3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4" t="s">
        <v>586</v>
      </c>
    </row>
    <row r="142" customFormat="false" ht="15" hidden="false" customHeight="false" outlineLevel="0" collapsed="false">
      <c r="A142" s="2" t="n">
        <v>805770</v>
      </c>
      <c r="B142" s="2" t="s">
        <v>587</v>
      </c>
      <c r="C142" s="2" t="s">
        <v>538</v>
      </c>
      <c r="D142" s="2" t="s">
        <v>341</v>
      </c>
      <c r="E142" s="2" t="s">
        <v>59</v>
      </c>
      <c r="F142" s="2" t="s">
        <v>102</v>
      </c>
      <c r="G142" s="2" t="s">
        <v>404</v>
      </c>
      <c r="H142" s="2" t="s">
        <v>588</v>
      </c>
      <c r="I142" s="2" t="n">
        <v>6</v>
      </c>
      <c r="J142" s="2" t="n">
        <v>28</v>
      </c>
      <c r="K142" s="2" t="s">
        <v>589</v>
      </c>
      <c r="L142" s="2" t="s">
        <v>590</v>
      </c>
      <c r="M142" s="2" t="n">
        <v>170</v>
      </c>
      <c r="N142" s="3" t="n">
        <v>50000</v>
      </c>
      <c r="O142" s="2"/>
      <c r="P142" s="2" t="n">
        <v>25</v>
      </c>
      <c r="Q142" s="3" t="n">
        <v>2013</v>
      </c>
      <c r="R142" s="2" t="n">
        <v>6.96</v>
      </c>
      <c r="S142" s="2" t="n">
        <v>0</v>
      </c>
      <c r="T142" s="2" t="n">
        <v>3</v>
      </c>
      <c r="U142" s="2" t="n">
        <v>0</v>
      </c>
      <c r="V142" s="2" t="n">
        <v>4</v>
      </c>
      <c r="W142" s="2"/>
      <c r="X142" s="2" t="n">
        <v>0.13</v>
      </c>
      <c r="Y142" s="2" t="n">
        <v>1.4</v>
      </c>
      <c r="Z142" s="2" t="n">
        <v>0.4</v>
      </c>
      <c r="AA142" s="2" t="n">
        <v>9.7</v>
      </c>
      <c r="AB142" s="2" t="n">
        <v>1</v>
      </c>
      <c r="AC142" s="2" t="n">
        <v>26</v>
      </c>
      <c r="AD142" s="2" t="n">
        <v>1.2</v>
      </c>
      <c r="AE142" s="2" t="n">
        <v>2</v>
      </c>
      <c r="AF142" s="2" t="n">
        <v>34.2</v>
      </c>
      <c r="AG142" s="2" t="n">
        <v>83.6</v>
      </c>
      <c r="AH142" s="2" t="n">
        <v>2.5</v>
      </c>
      <c r="AI142" s="2" t="n">
        <v>61.3</v>
      </c>
      <c r="AJ142" s="2" t="n">
        <v>0.1</v>
      </c>
      <c r="AK142" s="2" t="n">
        <v>25</v>
      </c>
      <c r="AL142" s="2" t="n">
        <v>1</v>
      </c>
      <c r="AM142" s="2" t="n">
        <v>1.2</v>
      </c>
      <c r="AN142" s="2" t="n">
        <v>3.2</v>
      </c>
      <c r="AO142" s="2" t="n">
        <v>1.1</v>
      </c>
      <c r="AP142" s="2" t="n">
        <v>0.6</v>
      </c>
      <c r="AQ142" s="2" t="n">
        <v>1.1</v>
      </c>
      <c r="AR142" s="2" t="n">
        <v>0.4</v>
      </c>
      <c r="AS142" s="2" t="n">
        <v>3.5</v>
      </c>
      <c r="AT142" s="2" t="n">
        <v>0.5</v>
      </c>
      <c r="AU142" s="2" t="n">
        <v>1.9</v>
      </c>
      <c r="AV142" s="2" t="n">
        <v>1.2</v>
      </c>
      <c r="AW142" s="2" t="n">
        <v>6</v>
      </c>
      <c r="AX142" s="2" t="n">
        <v>1</v>
      </c>
      <c r="AY142" s="2"/>
      <c r="AZ142" s="2"/>
      <c r="BA142" s="2"/>
      <c r="BB142" s="2"/>
      <c r="BC142" s="2"/>
      <c r="BD142" s="4" t="s">
        <v>591</v>
      </c>
    </row>
    <row r="143" customFormat="false" ht="15" hidden="false" customHeight="false" outlineLevel="0" collapsed="false">
      <c r="A143" s="2" t="n">
        <v>936528</v>
      </c>
      <c r="B143" s="2" t="s">
        <v>592</v>
      </c>
      <c r="C143" s="2" t="s">
        <v>538</v>
      </c>
      <c r="D143" s="2" t="s">
        <v>341</v>
      </c>
      <c r="E143" s="2" t="s">
        <v>59</v>
      </c>
      <c r="F143" s="2" t="s">
        <v>102</v>
      </c>
      <c r="G143" s="2" t="s">
        <v>133</v>
      </c>
      <c r="H143" s="2" t="s">
        <v>593</v>
      </c>
      <c r="I143" s="2" t="n">
        <v>19</v>
      </c>
      <c r="J143" s="2" t="n">
        <v>26</v>
      </c>
      <c r="K143" s="2" t="s">
        <v>594</v>
      </c>
      <c r="L143" s="2" t="s">
        <v>67</v>
      </c>
      <c r="M143" s="2" t="n">
        <v>180</v>
      </c>
      <c r="N143" s="3" t="n">
        <v>72360</v>
      </c>
      <c r="O143" s="2"/>
      <c r="P143" s="2" t="n">
        <v>24</v>
      </c>
      <c r="Q143" s="3" t="n">
        <v>1848</v>
      </c>
      <c r="R143" s="2" t="n">
        <v>7.55</v>
      </c>
      <c r="S143" s="2" t="n">
        <v>5</v>
      </c>
      <c r="T143" s="2" t="n">
        <v>9</v>
      </c>
      <c r="U143" s="2" t="n">
        <v>3</v>
      </c>
      <c r="V143" s="2" t="n">
        <v>4</v>
      </c>
      <c r="W143" s="2"/>
      <c r="X143" s="2" t="n">
        <v>0.44</v>
      </c>
      <c r="Y143" s="2" t="n">
        <v>2.5</v>
      </c>
      <c r="Z143" s="2" t="n">
        <v>1.1</v>
      </c>
      <c r="AA143" s="2" t="n">
        <v>17.3</v>
      </c>
      <c r="AB143" s="2" t="n">
        <v>1</v>
      </c>
      <c r="AC143" s="2" t="n">
        <v>46</v>
      </c>
      <c r="AD143" s="2" t="n">
        <v>2.2</v>
      </c>
      <c r="AE143" s="2" t="n">
        <v>8</v>
      </c>
      <c r="AF143" s="2" t="n">
        <v>26.7</v>
      </c>
      <c r="AG143" s="2" t="n">
        <v>83.7</v>
      </c>
      <c r="AH143" s="2" t="n">
        <v>2.4</v>
      </c>
      <c r="AI143" s="2" t="n">
        <v>70</v>
      </c>
      <c r="AJ143" s="2" t="n">
        <v>0.7</v>
      </c>
      <c r="AK143" s="2" t="n">
        <v>65.2</v>
      </c>
      <c r="AL143" s="2"/>
      <c r="AM143" s="2"/>
      <c r="AN143" s="2" t="n">
        <v>3.4</v>
      </c>
      <c r="AO143" s="2" t="n">
        <v>1.9</v>
      </c>
      <c r="AP143" s="2" t="n">
        <v>0.5</v>
      </c>
      <c r="AQ143" s="2" t="n">
        <v>0.9</v>
      </c>
      <c r="AR143" s="2"/>
      <c r="AS143" s="2" t="n">
        <v>3.7</v>
      </c>
      <c r="AT143" s="2" t="n">
        <v>0.6</v>
      </c>
      <c r="AU143" s="2" t="n">
        <v>2</v>
      </c>
      <c r="AV143" s="2" t="n">
        <v>1.2</v>
      </c>
      <c r="AW143" s="2" t="n">
        <v>4</v>
      </c>
      <c r="AX143" s="2"/>
      <c r="AY143" s="2"/>
      <c r="AZ143" s="2"/>
      <c r="BA143" s="2"/>
      <c r="BB143" s="2"/>
      <c r="BC143" s="2"/>
      <c r="BD143" s="4" t="s">
        <v>595</v>
      </c>
    </row>
    <row r="144" customFormat="false" ht="15" hidden="false" customHeight="false" outlineLevel="0" collapsed="false">
      <c r="A144" s="2" t="n">
        <v>1059463</v>
      </c>
      <c r="B144" s="2" t="s">
        <v>596</v>
      </c>
      <c r="C144" s="2" t="s">
        <v>538</v>
      </c>
      <c r="D144" s="2" t="s">
        <v>341</v>
      </c>
      <c r="E144" s="2" t="s">
        <v>59</v>
      </c>
      <c r="F144" s="2" t="s">
        <v>102</v>
      </c>
      <c r="G144" s="2" t="s">
        <v>404</v>
      </c>
      <c r="H144" s="2" t="s">
        <v>597</v>
      </c>
      <c r="I144" s="2" t="n">
        <v>30</v>
      </c>
      <c r="J144" s="2" t="n">
        <v>30</v>
      </c>
      <c r="K144" s="2" t="s">
        <v>598</v>
      </c>
      <c r="L144" s="2" t="s">
        <v>67</v>
      </c>
      <c r="M144" s="2" t="n">
        <v>173</v>
      </c>
      <c r="N144" s="3" t="n">
        <v>50000</v>
      </c>
      <c r="O144" s="2"/>
      <c r="P144" s="2" t="n">
        <v>24</v>
      </c>
      <c r="Q144" s="3" t="n">
        <v>1681</v>
      </c>
      <c r="R144" s="2" t="n">
        <v>6.65</v>
      </c>
      <c r="S144" s="2" t="n">
        <v>0</v>
      </c>
      <c r="T144" s="2"/>
      <c r="U144" s="2"/>
      <c r="V144" s="2" t="n">
        <v>1</v>
      </c>
      <c r="W144" s="2"/>
      <c r="X144" s="2"/>
      <c r="Y144" s="2" t="n">
        <v>0.5</v>
      </c>
      <c r="Z144" s="2" t="n">
        <v>0.1</v>
      </c>
      <c r="AA144" s="2" t="n">
        <v>0</v>
      </c>
      <c r="AB144" s="2"/>
      <c r="AC144" s="2" t="n">
        <v>14</v>
      </c>
      <c r="AD144" s="2" t="n">
        <v>0.7</v>
      </c>
      <c r="AE144" s="2" t="n">
        <v>2</v>
      </c>
      <c r="AF144" s="2" t="n">
        <v>35.1</v>
      </c>
      <c r="AG144" s="2" t="n">
        <v>86.9</v>
      </c>
      <c r="AH144" s="2" t="n">
        <v>2.7</v>
      </c>
      <c r="AI144" s="2" t="n">
        <v>56.8</v>
      </c>
      <c r="AJ144" s="2" t="n">
        <v>0.4</v>
      </c>
      <c r="AK144" s="2" t="n">
        <v>53.8</v>
      </c>
      <c r="AL144" s="2"/>
      <c r="AM144" s="2"/>
      <c r="AN144" s="2" t="n">
        <v>3.9</v>
      </c>
      <c r="AO144" s="2" t="n">
        <v>1</v>
      </c>
      <c r="AP144" s="2" t="n">
        <v>0.9</v>
      </c>
      <c r="AQ144" s="2" t="n">
        <v>1.7</v>
      </c>
      <c r="AR144" s="2" t="n">
        <v>0.3</v>
      </c>
      <c r="AS144" s="2" t="n">
        <v>4.4</v>
      </c>
      <c r="AT144" s="2" t="n">
        <v>0.5</v>
      </c>
      <c r="AU144" s="2" t="n">
        <v>2.5</v>
      </c>
      <c r="AV144" s="2" t="n">
        <v>1.5</v>
      </c>
      <c r="AW144" s="2" t="n">
        <v>3</v>
      </c>
      <c r="AX144" s="2" t="n">
        <v>1</v>
      </c>
      <c r="AY144" s="2"/>
      <c r="AZ144" s="2"/>
      <c r="BA144" s="2"/>
      <c r="BB144" s="2"/>
      <c r="BC144" s="2"/>
      <c r="BD144" s="4" t="s">
        <v>599</v>
      </c>
    </row>
    <row r="145" customFormat="false" ht="15" hidden="false" customHeight="false" outlineLevel="0" collapsed="false">
      <c r="A145" s="2" t="n">
        <v>1170999</v>
      </c>
      <c r="B145" s="2" t="s">
        <v>600</v>
      </c>
      <c r="C145" s="2" t="s">
        <v>538</v>
      </c>
      <c r="D145" s="2" t="s">
        <v>341</v>
      </c>
      <c r="E145" s="2" t="s">
        <v>59</v>
      </c>
      <c r="F145" s="2" t="s">
        <v>102</v>
      </c>
      <c r="G145" s="2" t="s">
        <v>221</v>
      </c>
      <c r="H145" s="2" t="s">
        <v>601</v>
      </c>
      <c r="I145" s="2" t="n">
        <v>16</v>
      </c>
      <c r="J145" s="2" t="n">
        <v>30</v>
      </c>
      <c r="K145" s="2" t="s">
        <v>602</v>
      </c>
      <c r="L145" s="2" t="s">
        <v>178</v>
      </c>
      <c r="M145" s="2" t="n">
        <v>178</v>
      </c>
      <c r="N145" s="3"/>
      <c r="O145" s="2"/>
      <c r="P145" s="2" t="n">
        <v>22</v>
      </c>
      <c r="Q145" s="3" t="n">
        <v>1640</v>
      </c>
      <c r="R145" s="2" t="n">
        <v>7.08</v>
      </c>
      <c r="S145" s="2" t="n">
        <v>0</v>
      </c>
      <c r="T145" s="2" t="n">
        <v>1</v>
      </c>
      <c r="U145" s="2" t="n">
        <v>0</v>
      </c>
      <c r="V145" s="2" t="n">
        <v>1</v>
      </c>
      <c r="W145" s="2"/>
      <c r="X145" s="2" t="n">
        <v>0.05</v>
      </c>
      <c r="Y145" s="2" t="n">
        <v>1.2</v>
      </c>
      <c r="Z145" s="2" t="n">
        <v>0.3</v>
      </c>
      <c r="AA145" s="2" t="n">
        <v>4.8</v>
      </c>
      <c r="AB145" s="2" t="n">
        <v>1</v>
      </c>
      <c r="AC145" s="2" t="n">
        <v>16</v>
      </c>
      <c r="AD145" s="2" t="n">
        <v>0.9</v>
      </c>
      <c r="AE145" s="2" t="n">
        <v>4</v>
      </c>
      <c r="AF145" s="2" t="n">
        <v>29.4</v>
      </c>
      <c r="AG145" s="2" t="n">
        <v>80.2</v>
      </c>
      <c r="AH145" s="2" t="n">
        <v>1.3</v>
      </c>
      <c r="AI145" s="2" t="n">
        <v>34.8</v>
      </c>
      <c r="AJ145" s="2" t="n">
        <v>1.1</v>
      </c>
      <c r="AK145" s="2" t="n">
        <v>47.6</v>
      </c>
      <c r="AL145" s="2" t="n">
        <v>1</v>
      </c>
      <c r="AM145" s="2" t="n">
        <v>2.2</v>
      </c>
      <c r="AN145" s="2" t="n">
        <v>5.7</v>
      </c>
      <c r="AO145" s="2" t="n">
        <v>2.3</v>
      </c>
      <c r="AP145" s="2" t="n">
        <v>1.5</v>
      </c>
      <c r="AQ145" s="2" t="n">
        <v>1.8</v>
      </c>
      <c r="AR145" s="2" t="n">
        <v>0.1</v>
      </c>
      <c r="AS145" s="2" t="n">
        <v>3.7</v>
      </c>
      <c r="AT145" s="2" t="n">
        <v>0.2</v>
      </c>
      <c r="AU145" s="2" t="n">
        <v>2.1</v>
      </c>
      <c r="AV145" s="2" t="n">
        <v>2</v>
      </c>
      <c r="AW145" s="2" t="n">
        <v>4</v>
      </c>
      <c r="AX145" s="2" t="n">
        <v>1</v>
      </c>
      <c r="AY145" s="2" t="n">
        <v>1</v>
      </c>
      <c r="AZ145" s="2"/>
      <c r="BA145" s="2"/>
      <c r="BB145" s="2"/>
      <c r="BC145" s="2"/>
      <c r="BD145" s="4" t="s">
        <v>603</v>
      </c>
    </row>
    <row r="146" customFormat="false" ht="15" hidden="false" customHeight="false" outlineLevel="0" collapsed="false">
      <c r="A146" s="2" t="n">
        <v>1448105</v>
      </c>
      <c r="B146" s="2" t="s">
        <v>604</v>
      </c>
      <c r="C146" s="2" t="s">
        <v>538</v>
      </c>
      <c r="D146" s="2" t="s">
        <v>341</v>
      </c>
      <c r="E146" s="2" t="s">
        <v>59</v>
      </c>
      <c r="F146" s="2" t="s">
        <v>102</v>
      </c>
      <c r="G146" s="2" t="s">
        <v>404</v>
      </c>
      <c r="H146" s="2" t="s">
        <v>605</v>
      </c>
      <c r="I146" s="2" t="n">
        <v>5</v>
      </c>
      <c r="J146" s="2" t="n">
        <v>26</v>
      </c>
      <c r="K146" s="2" t="s">
        <v>606</v>
      </c>
      <c r="L146" s="2" t="s">
        <v>67</v>
      </c>
      <c r="M146" s="2" t="n">
        <v>175</v>
      </c>
      <c r="N146" s="3" t="n">
        <v>79264</v>
      </c>
      <c r="O146" s="2"/>
      <c r="P146" s="2" t="n">
        <v>20</v>
      </c>
      <c r="Q146" s="3" t="n">
        <v>533</v>
      </c>
      <c r="R146" s="2" t="n">
        <v>6.36</v>
      </c>
      <c r="S146" s="2" t="n">
        <v>0</v>
      </c>
      <c r="T146" s="2"/>
      <c r="U146" s="2"/>
      <c r="V146" s="2"/>
      <c r="W146" s="2"/>
      <c r="X146" s="2"/>
      <c r="Y146" s="2" t="n">
        <v>0.7</v>
      </c>
      <c r="Z146" s="2"/>
      <c r="AA146" s="2" t="n">
        <v>0</v>
      </c>
      <c r="AB146" s="2"/>
      <c r="AC146" s="2" t="n">
        <v>4</v>
      </c>
      <c r="AD146" s="2" t="n">
        <v>0.7</v>
      </c>
      <c r="AE146" s="2"/>
      <c r="AF146" s="2" t="n">
        <v>31.4</v>
      </c>
      <c r="AG146" s="2" t="n">
        <v>87.7</v>
      </c>
      <c r="AH146" s="2" t="n">
        <v>1.5</v>
      </c>
      <c r="AI146" s="2" t="n">
        <v>64.3</v>
      </c>
      <c r="AJ146" s="2" t="n">
        <v>0.3</v>
      </c>
      <c r="AK146" s="2" t="n">
        <v>66.7</v>
      </c>
      <c r="AL146" s="2"/>
      <c r="AM146" s="2"/>
      <c r="AN146" s="2" t="n">
        <v>3.7</v>
      </c>
      <c r="AO146" s="2" t="n">
        <v>1.5</v>
      </c>
      <c r="AP146" s="2" t="n">
        <v>0.5</v>
      </c>
      <c r="AQ146" s="2" t="n">
        <v>1.7</v>
      </c>
      <c r="AR146" s="2"/>
      <c r="AS146" s="2" t="n">
        <v>3.5</v>
      </c>
      <c r="AT146" s="2" t="n">
        <v>0.3</v>
      </c>
      <c r="AU146" s="2" t="n">
        <v>1.9</v>
      </c>
      <c r="AV146" s="2" t="n">
        <v>0.7</v>
      </c>
      <c r="AW146" s="2" t="n">
        <v>1</v>
      </c>
      <c r="AX146" s="2"/>
      <c r="AY146" s="2"/>
      <c r="AZ146" s="2"/>
      <c r="BA146" s="2"/>
      <c r="BB146" s="2"/>
      <c r="BC146" s="2"/>
      <c r="BD146" s="4" t="s">
        <v>607</v>
      </c>
    </row>
    <row r="147" customFormat="false" ht="15" hidden="false" customHeight="false" outlineLevel="0" collapsed="false">
      <c r="A147" s="2" t="n">
        <v>2026834</v>
      </c>
      <c r="B147" s="2" t="s">
        <v>608</v>
      </c>
      <c r="C147" s="2" t="s">
        <v>538</v>
      </c>
      <c r="D147" s="2" t="s">
        <v>341</v>
      </c>
      <c r="E147" s="2" t="s">
        <v>59</v>
      </c>
      <c r="F147" s="2" t="s">
        <v>102</v>
      </c>
      <c r="G147" s="2"/>
      <c r="H147" s="2"/>
      <c r="I147" s="2" t="n">
        <v>74</v>
      </c>
      <c r="J147" s="2" t="n">
        <v>17</v>
      </c>
      <c r="K147" s="2" t="s">
        <v>609</v>
      </c>
      <c r="L147" s="2" t="s">
        <v>67</v>
      </c>
      <c r="M147" s="2" t="n">
        <v>180</v>
      </c>
      <c r="N147" s="3"/>
      <c r="O147" s="2"/>
      <c r="P147" s="2"/>
      <c r="Q147" s="3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4" t="s">
        <v>610</v>
      </c>
    </row>
    <row r="148" customFormat="false" ht="15" hidden="false" customHeight="false" outlineLevel="0" collapsed="false">
      <c r="A148" s="2" t="n">
        <v>2026835</v>
      </c>
      <c r="B148" s="2" t="s">
        <v>611</v>
      </c>
      <c r="C148" s="2" t="s">
        <v>538</v>
      </c>
      <c r="D148" s="2" t="s">
        <v>341</v>
      </c>
      <c r="E148" s="2" t="s">
        <v>59</v>
      </c>
      <c r="F148" s="2" t="s">
        <v>102</v>
      </c>
      <c r="G148" s="2"/>
      <c r="H148" s="2"/>
      <c r="I148" s="2" t="n">
        <v>78</v>
      </c>
      <c r="J148" s="2" t="n">
        <v>17</v>
      </c>
      <c r="K148" s="2" t="s">
        <v>612</v>
      </c>
      <c r="L148" s="2" t="s">
        <v>67</v>
      </c>
      <c r="M148" s="2" t="n">
        <v>180</v>
      </c>
      <c r="N148" s="3"/>
      <c r="O148" s="2"/>
      <c r="P148" s="2"/>
      <c r="Q148" s="3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4" t="s">
        <v>613</v>
      </c>
    </row>
    <row r="149" customFormat="false" ht="15" hidden="false" customHeight="false" outlineLevel="0" collapsed="false">
      <c r="A149" s="2" t="n">
        <v>570980</v>
      </c>
      <c r="B149" s="2" t="s">
        <v>614</v>
      </c>
      <c r="C149" s="2" t="s">
        <v>538</v>
      </c>
      <c r="D149" s="2" t="s">
        <v>341</v>
      </c>
      <c r="E149" s="2" t="s">
        <v>59</v>
      </c>
      <c r="F149" s="2" t="s">
        <v>137</v>
      </c>
      <c r="G149" s="2" t="s">
        <v>147</v>
      </c>
      <c r="H149" s="2" t="s">
        <v>615</v>
      </c>
      <c r="I149" s="2" t="n">
        <v>14</v>
      </c>
      <c r="J149" s="2" t="n">
        <v>30</v>
      </c>
      <c r="K149" s="2" t="s">
        <v>616</v>
      </c>
      <c r="L149" s="2" t="s">
        <v>617</v>
      </c>
      <c r="M149" s="2" t="n">
        <v>183</v>
      </c>
      <c r="N149" s="3" t="n">
        <v>73916</v>
      </c>
      <c r="O149" s="2"/>
      <c r="P149" s="2" t="n">
        <v>23</v>
      </c>
      <c r="Q149" s="3" t="n">
        <v>1958</v>
      </c>
      <c r="R149" s="2" t="n">
        <v>7.57</v>
      </c>
      <c r="S149" s="2" t="n">
        <v>6</v>
      </c>
      <c r="T149" s="2" t="n">
        <v>16</v>
      </c>
      <c r="U149" s="2" t="n">
        <v>2</v>
      </c>
      <c r="V149" s="2" t="n">
        <v>4</v>
      </c>
      <c r="W149" s="2"/>
      <c r="X149" s="2" t="n">
        <v>0.74</v>
      </c>
      <c r="Y149" s="2" t="n">
        <v>3.1</v>
      </c>
      <c r="Z149" s="2" t="n">
        <v>1.4</v>
      </c>
      <c r="AA149" s="2" t="n">
        <v>23.9</v>
      </c>
      <c r="AB149" s="2" t="n">
        <v>11</v>
      </c>
      <c r="AC149" s="2" t="n">
        <v>32</v>
      </c>
      <c r="AD149" s="2" t="n">
        <v>1.5</v>
      </c>
      <c r="AE149" s="2" t="n">
        <v>4</v>
      </c>
      <c r="AF149" s="2" t="n">
        <v>15.3</v>
      </c>
      <c r="AG149" s="2" t="n">
        <v>78.9</v>
      </c>
      <c r="AH149" s="2" t="n">
        <v>0.5</v>
      </c>
      <c r="AI149" s="2" t="n">
        <v>47.8</v>
      </c>
      <c r="AJ149" s="2" t="n">
        <v>0.4</v>
      </c>
      <c r="AK149" s="2" t="n">
        <v>47.1</v>
      </c>
      <c r="AL149" s="2" t="n">
        <v>1</v>
      </c>
      <c r="AM149" s="2" t="n">
        <v>1.1</v>
      </c>
      <c r="AN149" s="2" t="n">
        <v>1.5</v>
      </c>
      <c r="AO149" s="2" t="n">
        <v>0.1</v>
      </c>
      <c r="AP149" s="2" t="n">
        <v>0.1</v>
      </c>
      <c r="AQ149" s="2" t="n">
        <v>1.1</v>
      </c>
      <c r="AR149" s="2" t="n">
        <v>0.1</v>
      </c>
      <c r="AS149" s="2" t="n">
        <v>2.1</v>
      </c>
      <c r="AT149" s="2" t="n">
        <v>0.6</v>
      </c>
      <c r="AU149" s="2" t="n">
        <v>1.4</v>
      </c>
      <c r="AV149" s="2" t="n">
        <v>1</v>
      </c>
      <c r="AW149" s="2" t="n">
        <v>1</v>
      </c>
      <c r="AX149" s="2"/>
      <c r="AY149" s="2"/>
      <c r="AZ149" s="2"/>
      <c r="BA149" s="2"/>
      <c r="BB149" s="2"/>
      <c r="BC149" s="2"/>
      <c r="BD149" s="4" t="s">
        <v>618</v>
      </c>
    </row>
    <row r="150" customFormat="false" ht="15" hidden="false" customHeight="false" outlineLevel="0" collapsed="false">
      <c r="A150" s="2" t="n">
        <v>431435</v>
      </c>
      <c r="B150" s="2" t="s">
        <v>619</v>
      </c>
      <c r="C150" s="2" t="s">
        <v>538</v>
      </c>
      <c r="D150" s="2" t="s">
        <v>341</v>
      </c>
      <c r="E150" s="2" t="s">
        <v>59</v>
      </c>
      <c r="F150" s="2" t="s">
        <v>137</v>
      </c>
      <c r="G150" s="2" t="s">
        <v>138</v>
      </c>
      <c r="H150" s="2" t="s">
        <v>506</v>
      </c>
      <c r="I150" s="2" t="n">
        <v>10</v>
      </c>
      <c r="J150" s="2" t="n">
        <v>31</v>
      </c>
      <c r="K150" s="2" t="s">
        <v>620</v>
      </c>
      <c r="L150" s="2" t="s">
        <v>590</v>
      </c>
      <c r="M150" s="2" t="n">
        <v>170</v>
      </c>
      <c r="N150" s="3" t="n">
        <v>50000</v>
      </c>
      <c r="O150" s="2"/>
      <c r="P150" s="2" t="n">
        <v>22</v>
      </c>
      <c r="Q150" s="3" t="n">
        <v>1560</v>
      </c>
      <c r="R150" s="2" t="n">
        <v>7.15</v>
      </c>
      <c r="S150" s="2" t="n">
        <v>1</v>
      </c>
      <c r="T150" s="2" t="n">
        <v>6</v>
      </c>
      <c r="U150" s="2" t="n">
        <v>0</v>
      </c>
      <c r="V150" s="2" t="n">
        <v>4</v>
      </c>
      <c r="W150" s="2"/>
      <c r="X150" s="2" t="n">
        <v>0.35</v>
      </c>
      <c r="Y150" s="2" t="n">
        <v>2.9</v>
      </c>
      <c r="Z150" s="2" t="n">
        <v>1.3</v>
      </c>
      <c r="AA150" s="2" t="n">
        <v>12</v>
      </c>
      <c r="AB150" s="2" t="n">
        <v>6</v>
      </c>
      <c r="AC150" s="2" t="n">
        <v>24</v>
      </c>
      <c r="AD150" s="2" t="n">
        <v>1.4</v>
      </c>
      <c r="AE150" s="2" t="n">
        <v>4</v>
      </c>
      <c r="AF150" s="2" t="n">
        <v>16.7</v>
      </c>
      <c r="AG150" s="2" t="n">
        <v>75.5</v>
      </c>
      <c r="AH150" s="2" t="n">
        <v>0.6</v>
      </c>
      <c r="AI150" s="2" t="n">
        <v>30.3</v>
      </c>
      <c r="AJ150" s="2" t="n">
        <v>0.9</v>
      </c>
      <c r="AK150" s="2" t="n">
        <v>44.4</v>
      </c>
      <c r="AL150" s="2" t="n">
        <v>2</v>
      </c>
      <c r="AM150" s="2" t="n">
        <v>1.9</v>
      </c>
      <c r="AN150" s="2" t="n">
        <v>1.6</v>
      </c>
      <c r="AO150" s="2" t="n">
        <v>0.7</v>
      </c>
      <c r="AP150" s="2" t="n">
        <v>0.2</v>
      </c>
      <c r="AQ150" s="2" t="n">
        <v>0.6</v>
      </c>
      <c r="AR150" s="2" t="n">
        <v>0.1</v>
      </c>
      <c r="AS150" s="2" t="n">
        <v>4.4</v>
      </c>
      <c r="AT150" s="2" t="n">
        <v>0.9</v>
      </c>
      <c r="AU150" s="2" t="n">
        <v>2.5</v>
      </c>
      <c r="AV150" s="2" t="n">
        <v>1.8</v>
      </c>
      <c r="AW150" s="2" t="n">
        <v>3</v>
      </c>
      <c r="AX150" s="2"/>
      <c r="AY150" s="2"/>
      <c r="AZ150" s="2"/>
      <c r="BA150" s="2"/>
      <c r="BB150" s="2"/>
      <c r="BC150" s="2"/>
      <c r="BD150" s="4" t="s">
        <v>621</v>
      </c>
    </row>
    <row r="151" customFormat="false" ht="15" hidden="false" customHeight="false" outlineLevel="0" collapsed="false">
      <c r="A151" s="2" t="n">
        <v>1078028</v>
      </c>
      <c r="B151" s="2" t="s">
        <v>622</v>
      </c>
      <c r="C151" s="2" t="s">
        <v>538</v>
      </c>
      <c r="D151" s="2" t="s">
        <v>341</v>
      </c>
      <c r="E151" s="2" t="s">
        <v>59</v>
      </c>
      <c r="F151" s="2" t="s">
        <v>137</v>
      </c>
      <c r="G151" s="2" t="s">
        <v>133</v>
      </c>
      <c r="H151" s="2" t="s">
        <v>623</v>
      </c>
      <c r="I151" s="2" t="n">
        <v>13</v>
      </c>
      <c r="J151" s="2" t="n">
        <v>25</v>
      </c>
      <c r="K151" s="2" t="s">
        <v>624</v>
      </c>
      <c r="L151" s="2" t="s">
        <v>67</v>
      </c>
      <c r="M151" s="2" t="n">
        <v>170</v>
      </c>
      <c r="N151" s="3" t="n">
        <v>89995</v>
      </c>
      <c r="O151" s="2"/>
      <c r="P151" s="2" t="n">
        <v>19</v>
      </c>
      <c r="Q151" s="3" t="n">
        <v>776</v>
      </c>
      <c r="R151" s="2" t="n">
        <v>6.61</v>
      </c>
      <c r="S151" s="2" t="n">
        <v>0</v>
      </c>
      <c r="T151" s="2" t="n">
        <v>2</v>
      </c>
      <c r="U151" s="2" t="n">
        <v>0</v>
      </c>
      <c r="V151" s="2"/>
      <c r="W151" s="2"/>
      <c r="X151" s="2" t="n">
        <v>0.23</v>
      </c>
      <c r="Y151" s="2" t="n">
        <v>2.7</v>
      </c>
      <c r="Z151" s="2" t="n">
        <v>1.2</v>
      </c>
      <c r="AA151" s="2" t="n">
        <v>8.7</v>
      </c>
      <c r="AB151" s="2" t="n">
        <v>2</v>
      </c>
      <c r="AC151" s="2" t="n">
        <v>8</v>
      </c>
      <c r="AD151" s="2" t="n">
        <v>0.9</v>
      </c>
      <c r="AE151" s="2"/>
      <c r="AF151" s="2" t="n">
        <v>16.6</v>
      </c>
      <c r="AG151" s="2" t="n">
        <v>73.7</v>
      </c>
      <c r="AH151" s="2" t="n">
        <v>0.8</v>
      </c>
      <c r="AI151" s="2" t="n">
        <v>41.2</v>
      </c>
      <c r="AJ151" s="2" t="n">
        <v>0.9</v>
      </c>
      <c r="AK151" s="2" t="n">
        <v>30.8</v>
      </c>
      <c r="AL151" s="2"/>
      <c r="AM151" s="2"/>
      <c r="AN151" s="2" t="n">
        <v>5.9</v>
      </c>
      <c r="AO151" s="2" t="n">
        <v>3.6</v>
      </c>
      <c r="AP151" s="2" t="n">
        <v>0.7</v>
      </c>
      <c r="AQ151" s="2" t="n">
        <v>1.5</v>
      </c>
      <c r="AR151" s="2" t="n">
        <v>0.1</v>
      </c>
      <c r="AS151" s="2" t="n">
        <v>3.7</v>
      </c>
      <c r="AT151" s="2" t="n">
        <v>0.5</v>
      </c>
      <c r="AU151" s="2" t="n">
        <v>1.7</v>
      </c>
      <c r="AV151" s="2" t="n">
        <v>2.4</v>
      </c>
      <c r="AW151" s="2" t="n">
        <v>2</v>
      </c>
      <c r="AX151" s="2"/>
      <c r="AY151" s="2"/>
      <c r="AZ151" s="2"/>
      <c r="BA151" s="2"/>
      <c r="BB151" s="2"/>
      <c r="BC151" s="2"/>
      <c r="BD151" s="4" t="s">
        <v>625</v>
      </c>
    </row>
    <row r="152" customFormat="false" ht="15" hidden="false" customHeight="false" outlineLevel="0" collapsed="false">
      <c r="A152" s="2" t="n">
        <v>1621324</v>
      </c>
      <c r="B152" s="2" t="s">
        <v>626</v>
      </c>
      <c r="C152" s="2" t="s">
        <v>538</v>
      </c>
      <c r="D152" s="2" t="s">
        <v>341</v>
      </c>
      <c r="E152" s="2" t="s">
        <v>59</v>
      </c>
      <c r="F152" s="2" t="s">
        <v>137</v>
      </c>
      <c r="G152" s="2" t="s">
        <v>133</v>
      </c>
      <c r="H152" s="2" t="s">
        <v>627</v>
      </c>
      <c r="I152" s="2" t="n">
        <v>11</v>
      </c>
      <c r="J152" s="2" t="n">
        <v>25</v>
      </c>
      <c r="K152" s="2" t="s">
        <v>628</v>
      </c>
      <c r="L152" s="2" t="s">
        <v>629</v>
      </c>
      <c r="M152" s="2" t="n">
        <v>170</v>
      </c>
      <c r="N152" s="3"/>
      <c r="O152" s="2"/>
      <c r="P152" s="2" t="n">
        <v>12</v>
      </c>
      <c r="Q152" s="3" t="n">
        <v>472</v>
      </c>
      <c r="R152" s="2"/>
      <c r="S152" s="2"/>
      <c r="T152" s="2" t="n">
        <v>1</v>
      </c>
      <c r="U152" s="2" t="n">
        <v>0</v>
      </c>
      <c r="V152" s="2" t="n">
        <v>1</v>
      </c>
      <c r="W152" s="2"/>
      <c r="X152" s="2"/>
      <c r="Y152" s="2"/>
      <c r="Z152" s="2"/>
      <c r="AA152" s="2"/>
      <c r="AB152" s="2" t="n">
        <v>1</v>
      </c>
      <c r="AC152" s="2" t="n">
        <v>9</v>
      </c>
      <c r="AD152" s="2" t="n">
        <v>1.7</v>
      </c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4" t="s">
        <v>630</v>
      </c>
    </row>
    <row r="153" customFormat="false" ht="15" hidden="false" customHeight="false" outlineLevel="0" collapsed="false">
      <c r="A153" s="2" t="n">
        <v>1358427</v>
      </c>
      <c r="B153" s="2" t="s">
        <v>631</v>
      </c>
      <c r="C153" s="2" t="s">
        <v>538</v>
      </c>
      <c r="D153" s="2" t="s">
        <v>341</v>
      </c>
      <c r="E153" s="2" t="s">
        <v>59</v>
      </c>
      <c r="F153" s="2" t="s">
        <v>137</v>
      </c>
      <c r="G153" s="2" t="s">
        <v>147</v>
      </c>
      <c r="H153" s="2" t="s">
        <v>147</v>
      </c>
      <c r="I153" s="2" t="n">
        <v>9</v>
      </c>
      <c r="J153" s="2" t="n">
        <v>23</v>
      </c>
      <c r="K153" s="2" t="s">
        <v>632</v>
      </c>
      <c r="L153" s="2" t="s">
        <v>346</v>
      </c>
      <c r="M153" s="2" t="n">
        <v>183</v>
      </c>
      <c r="N153" s="3" t="n">
        <v>178726</v>
      </c>
      <c r="O153" s="2"/>
      <c r="P153" s="2" t="n">
        <v>15</v>
      </c>
      <c r="Q153" s="3" t="n">
        <v>350</v>
      </c>
      <c r="R153" s="2"/>
      <c r="S153" s="2"/>
      <c r="T153" s="2" t="n">
        <v>2</v>
      </c>
      <c r="U153" s="2" t="n">
        <v>0</v>
      </c>
      <c r="V153" s="2"/>
      <c r="W153" s="2"/>
      <c r="X153" s="2" t="n">
        <v>0.51</v>
      </c>
      <c r="Y153" s="2" t="n">
        <v>2.6</v>
      </c>
      <c r="Z153" s="2" t="n">
        <v>1</v>
      </c>
      <c r="AA153" s="2" t="n">
        <v>20</v>
      </c>
      <c r="AB153" s="2" t="n">
        <v>1</v>
      </c>
      <c r="AC153" s="2"/>
      <c r="AD153" s="2"/>
      <c r="AE153" s="2"/>
      <c r="AF153" s="2" t="n">
        <v>16.5</v>
      </c>
      <c r="AG153" s="2" t="n">
        <v>74.4</v>
      </c>
      <c r="AH153" s="2" t="n">
        <v>0.8</v>
      </c>
      <c r="AI153" s="2" t="n">
        <v>100</v>
      </c>
      <c r="AJ153" s="2" t="n">
        <v>0.5</v>
      </c>
      <c r="AK153" s="2" t="n">
        <v>66.7</v>
      </c>
      <c r="AL153" s="2"/>
      <c r="AM153" s="2"/>
      <c r="AN153" s="2" t="n">
        <v>2.8</v>
      </c>
      <c r="AO153" s="2" t="n">
        <v>0.8</v>
      </c>
      <c r="AP153" s="2" t="n">
        <v>0.3</v>
      </c>
      <c r="AQ153" s="2" t="n">
        <v>1.8</v>
      </c>
      <c r="AR153" s="2"/>
      <c r="AS153" s="2" t="n">
        <v>2.6</v>
      </c>
      <c r="AT153" s="2" t="n">
        <v>0.5</v>
      </c>
      <c r="AU153" s="2" t="n">
        <v>1.3</v>
      </c>
      <c r="AV153" s="2" t="n">
        <v>2.8</v>
      </c>
      <c r="AW153" s="2" t="n">
        <v>3</v>
      </c>
      <c r="AX153" s="2" t="n">
        <v>1</v>
      </c>
      <c r="AY153" s="2"/>
      <c r="AZ153" s="2"/>
      <c r="BA153" s="2"/>
      <c r="BB153" s="2"/>
      <c r="BC153" s="2"/>
      <c r="BD153" s="4" t="s">
        <v>633</v>
      </c>
    </row>
    <row r="154" customFormat="false" ht="15" hidden="false" customHeight="false" outlineLevel="0" collapsed="false">
      <c r="A154" s="2" t="n">
        <v>1724677</v>
      </c>
      <c r="B154" s="2" t="s">
        <v>634</v>
      </c>
      <c r="C154" s="2" t="s">
        <v>538</v>
      </c>
      <c r="D154" s="2" t="s">
        <v>341</v>
      </c>
      <c r="E154" s="2" t="s">
        <v>59</v>
      </c>
      <c r="F154" s="2" t="s">
        <v>137</v>
      </c>
      <c r="G154" s="2" t="s">
        <v>133</v>
      </c>
      <c r="H154" s="2" t="s">
        <v>133</v>
      </c>
      <c r="I154" s="2" t="n">
        <v>28</v>
      </c>
      <c r="J154" s="2" t="n">
        <v>22</v>
      </c>
      <c r="K154" s="2" t="s">
        <v>635</v>
      </c>
      <c r="L154" s="2" t="s">
        <v>67</v>
      </c>
      <c r="M154" s="2" t="n">
        <v>175</v>
      </c>
      <c r="N154" s="3"/>
      <c r="O154" s="2"/>
      <c r="P154" s="2" t="n">
        <v>10</v>
      </c>
      <c r="Q154" s="3" t="n">
        <v>171</v>
      </c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 t="n">
        <v>2</v>
      </c>
      <c r="AD154" s="2" t="n">
        <v>1.1</v>
      </c>
      <c r="AE154" s="2" t="n">
        <v>1</v>
      </c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 t="n">
        <v>1</v>
      </c>
      <c r="AX154" s="2"/>
      <c r="AY154" s="2"/>
      <c r="AZ154" s="2"/>
      <c r="BA154" s="2"/>
      <c r="BB154" s="2"/>
      <c r="BC154" s="2"/>
      <c r="BD154" s="4" t="s">
        <v>636</v>
      </c>
    </row>
    <row r="155" customFormat="false" ht="15" hidden="false" customHeight="false" outlineLevel="0" collapsed="false">
      <c r="A155" s="2" t="n">
        <v>1078226</v>
      </c>
      <c r="B155" s="2" t="s">
        <v>637</v>
      </c>
      <c r="C155" s="2" t="s">
        <v>538</v>
      </c>
      <c r="D155" s="2" t="s">
        <v>341</v>
      </c>
      <c r="E155" s="2" t="s">
        <v>59</v>
      </c>
      <c r="F155" s="2" t="s">
        <v>137</v>
      </c>
      <c r="G155" s="2" t="s">
        <v>138</v>
      </c>
      <c r="H155" s="2" t="s">
        <v>138</v>
      </c>
      <c r="I155" s="2" t="n">
        <v>7</v>
      </c>
      <c r="J155" s="2" t="n">
        <v>26</v>
      </c>
      <c r="K155" s="2" t="s">
        <v>638</v>
      </c>
      <c r="L155" s="2" t="s">
        <v>67</v>
      </c>
      <c r="M155" s="2" t="n">
        <v>181</v>
      </c>
      <c r="N155" s="3" t="n">
        <v>144684</v>
      </c>
      <c r="O155" s="2"/>
      <c r="P155" s="2" t="n">
        <v>6</v>
      </c>
      <c r="Q155" s="3" t="n">
        <v>117</v>
      </c>
      <c r="R155" s="2"/>
      <c r="S155" s="2"/>
      <c r="T155" s="2"/>
      <c r="U155" s="2"/>
      <c r="V155" s="2" t="n">
        <v>1</v>
      </c>
      <c r="W155" s="2"/>
      <c r="X155" s="2"/>
      <c r="Y155" s="2"/>
      <c r="Z155" s="2"/>
      <c r="AA155" s="2"/>
      <c r="AB155" s="2"/>
      <c r="AC155" s="2" t="n">
        <v>1</v>
      </c>
      <c r="AD155" s="2" t="n">
        <v>0.8</v>
      </c>
      <c r="AE155" s="2" t="n">
        <v>1</v>
      </c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 t="n">
        <v>1</v>
      </c>
      <c r="AX155" s="2"/>
      <c r="AY155" s="2"/>
      <c r="AZ155" s="2"/>
      <c r="BA155" s="2"/>
      <c r="BB155" s="2"/>
      <c r="BC155" s="2"/>
      <c r="BD155" s="4" t="s">
        <v>639</v>
      </c>
    </row>
    <row r="156" customFormat="false" ht="15" hidden="false" customHeight="false" outlineLevel="0" collapsed="false">
      <c r="A156" s="2" t="n">
        <v>2297330</v>
      </c>
      <c r="B156" s="2" t="s">
        <v>640</v>
      </c>
      <c r="C156" s="2" t="s">
        <v>538</v>
      </c>
      <c r="D156" s="2" t="s">
        <v>341</v>
      </c>
      <c r="E156" s="2" t="s">
        <v>59</v>
      </c>
      <c r="F156" s="2" t="s">
        <v>137</v>
      </c>
      <c r="G156" s="2"/>
      <c r="H156" s="2"/>
      <c r="I156" s="2" t="n">
        <v>91</v>
      </c>
      <c r="J156" s="2" t="n">
        <v>35</v>
      </c>
      <c r="K156" s="2" t="s">
        <v>641</v>
      </c>
      <c r="L156" s="2" t="s">
        <v>346</v>
      </c>
      <c r="M156" s="2" t="n">
        <v>178</v>
      </c>
      <c r="N156" s="3"/>
      <c r="O156" s="2"/>
      <c r="P156" s="2"/>
      <c r="Q156" s="3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4" t="s">
        <v>642</v>
      </c>
    </row>
    <row r="157" customFormat="false" ht="15" hidden="false" customHeight="false" outlineLevel="0" collapsed="false">
      <c r="A157" s="2" t="n">
        <v>1381135</v>
      </c>
      <c r="B157" s="2" t="s">
        <v>643</v>
      </c>
      <c r="C157" s="2" t="s">
        <v>644</v>
      </c>
      <c r="D157" s="2" t="s">
        <v>341</v>
      </c>
      <c r="E157" s="2" t="s">
        <v>59</v>
      </c>
      <c r="F157" s="2" t="s">
        <v>60</v>
      </c>
      <c r="G157" s="2" t="s">
        <v>61</v>
      </c>
      <c r="H157" s="2" t="s">
        <v>61</v>
      </c>
      <c r="I157" s="2" t="n">
        <v>28</v>
      </c>
      <c r="J157" s="2" t="n">
        <v>25</v>
      </c>
      <c r="K157" s="2" t="s">
        <v>645</v>
      </c>
      <c r="L157" s="2" t="s">
        <v>67</v>
      </c>
      <c r="M157" s="2" t="n">
        <v>193</v>
      </c>
      <c r="N157" s="3" t="n">
        <v>73007</v>
      </c>
      <c r="O157" s="2"/>
      <c r="P157" s="2" t="n">
        <v>15</v>
      </c>
      <c r="Q157" s="3" t="n">
        <v>1350</v>
      </c>
      <c r="R157" s="2" t="n">
        <v>6.88</v>
      </c>
      <c r="S157" s="2" t="n">
        <v>2</v>
      </c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 t="n">
        <v>11.9</v>
      </c>
      <c r="AG157" s="2" t="n">
        <v>53.8</v>
      </c>
      <c r="AH157" s="2"/>
      <c r="AI157" s="2"/>
      <c r="AJ157" s="2"/>
      <c r="AK157" s="2"/>
      <c r="AL157" s="2"/>
      <c r="AM157" s="2"/>
      <c r="AN157" s="2" t="n">
        <v>0.8</v>
      </c>
      <c r="AO157" s="2"/>
      <c r="AP157" s="2"/>
      <c r="AQ157" s="2" t="n">
        <v>0.8</v>
      </c>
      <c r="AR157" s="2"/>
      <c r="AS157" s="2" t="n">
        <v>9.5</v>
      </c>
      <c r="AT157" s="2"/>
      <c r="AU157" s="2"/>
      <c r="AV157" s="2"/>
      <c r="AW157" s="2" t="n">
        <v>1</v>
      </c>
      <c r="AX157" s="2"/>
      <c r="AY157" s="2"/>
      <c r="AZ157" s="2" t="n">
        <v>6</v>
      </c>
      <c r="BA157" s="2" t="n">
        <v>2.4</v>
      </c>
      <c r="BB157" s="2" t="n">
        <v>76.6</v>
      </c>
      <c r="BC157" s="2" t="n">
        <v>0.7</v>
      </c>
      <c r="BD157" s="4" t="s">
        <v>646</v>
      </c>
    </row>
    <row r="158" customFormat="false" ht="15" hidden="false" customHeight="false" outlineLevel="0" collapsed="false">
      <c r="A158" s="2" t="n">
        <v>638991</v>
      </c>
      <c r="B158" s="2" t="s">
        <v>647</v>
      </c>
      <c r="C158" s="2" t="s">
        <v>644</v>
      </c>
      <c r="D158" s="2" t="s">
        <v>341</v>
      </c>
      <c r="E158" s="2" t="s">
        <v>59</v>
      </c>
      <c r="F158" s="2" t="s">
        <v>60</v>
      </c>
      <c r="G158" s="2" t="s">
        <v>61</v>
      </c>
      <c r="H158" s="2" t="s">
        <v>61</v>
      </c>
      <c r="I158" s="2" t="n">
        <v>1</v>
      </c>
      <c r="J158" s="2" t="n">
        <v>33</v>
      </c>
      <c r="K158" s="2" t="s">
        <v>648</v>
      </c>
      <c r="L158" s="2" t="s">
        <v>649</v>
      </c>
      <c r="M158" s="2" t="n">
        <v>191</v>
      </c>
      <c r="N158" s="3" t="n">
        <v>50000</v>
      </c>
      <c r="O158" s="2"/>
      <c r="P158" s="2" t="n">
        <v>10</v>
      </c>
      <c r="Q158" s="3" t="n">
        <v>900</v>
      </c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 t="n">
        <v>4</v>
      </c>
      <c r="BA158" s="2"/>
      <c r="BB158" s="2"/>
      <c r="BC158" s="2"/>
      <c r="BD158" s="4" t="s">
        <v>650</v>
      </c>
    </row>
    <row r="159" customFormat="false" ht="15" hidden="false" customHeight="false" outlineLevel="0" collapsed="false">
      <c r="A159" s="2" t="n">
        <v>2090272</v>
      </c>
      <c r="B159" s="2" t="s">
        <v>651</v>
      </c>
      <c r="C159" s="2" t="s">
        <v>644</v>
      </c>
      <c r="D159" s="2" t="s">
        <v>341</v>
      </c>
      <c r="E159" s="2" t="s">
        <v>59</v>
      </c>
      <c r="F159" s="2" t="s">
        <v>60</v>
      </c>
      <c r="G159" s="2"/>
      <c r="H159" s="2"/>
      <c r="I159" s="2" t="n">
        <v>99</v>
      </c>
      <c r="J159" s="2" t="n">
        <v>18</v>
      </c>
      <c r="K159" s="2" t="s">
        <v>652</v>
      </c>
      <c r="L159" s="2" t="s">
        <v>67</v>
      </c>
      <c r="M159" s="2" t="n">
        <v>180</v>
      </c>
      <c r="N159" s="3"/>
      <c r="O159" s="2"/>
      <c r="P159" s="2"/>
      <c r="Q159" s="3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4" t="s">
        <v>653</v>
      </c>
    </row>
    <row r="160" customFormat="false" ht="15" hidden="false" customHeight="false" outlineLevel="0" collapsed="false">
      <c r="A160" s="2" t="n">
        <v>1712469</v>
      </c>
      <c r="B160" s="2" t="s">
        <v>654</v>
      </c>
      <c r="C160" s="2" t="s">
        <v>644</v>
      </c>
      <c r="D160" s="2" t="s">
        <v>341</v>
      </c>
      <c r="E160" s="2" t="s">
        <v>59</v>
      </c>
      <c r="F160" s="2" t="s">
        <v>70</v>
      </c>
      <c r="G160" s="2" t="s">
        <v>75</v>
      </c>
      <c r="H160" s="2" t="s">
        <v>75</v>
      </c>
      <c r="I160" s="2" t="n">
        <v>98</v>
      </c>
      <c r="J160" s="2" t="n">
        <v>28</v>
      </c>
      <c r="K160" s="2" t="s">
        <v>655</v>
      </c>
      <c r="L160" s="2" t="s">
        <v>178</v>
      </c>
      <c r="M160" s="2" t="n">
        <v>185</v>
      </c>
      <c r="N160" s="3"/>
      <c r="O160" s="2"/>
      <c r="P160" s="2" t="n">
        <v>22</v>
      </c>
      <c r="Q160" s="3" t="n">
        <v>1710</v>
      </c>
      <c r="R160" s="2" t="n">
        <v>7.02</v>
      </c>
      <c r="S160" s="2" t="n">
        <v>1</v>
      </c>
      <c r="T160" s="2"/>
      <c r="U160" s="2"/>
      <c r="V160" s="2" t="n">
        <v>3</v>
      </c>
      <c r="W160" s="2"/>
      <c r="X160" s="2"/>
      <c r="Y160" s="2" t="n">
        <v>0.6</v>
      </c>
      <c r="Z160" s="2" t="n">
        <v>0.1</v>
      </c>
      <c r="AA160" s="2" t="n">
        <v>0</v>
      </c>
      <c r="AB160" s="2" t="n">
        <v>3</v>
      </c>
      <c r="AC160" s="2" t="n">
        <v>10</v>
      </c>
      <c r="AD160" s="2" t="n">
        <v>0.5</v>
      </c>
      <c r="AE160" s="2" t="n">
        <v>4</v>
      </c>
      <c r="AF160" s="2" t="n">
        <v>31.3</v>
      </c>
      <c r="AG160" s="2" t="n">
        <v>79</v>
      </c>
      <c r="AH160" s="2" t="n">
        <v>3.5</v>
      </c>
      <c r="AI160" s="2" t="n">
        <v>43.5</v>
      </c>
      <c r="AJ160" s="2" t="n">
        <v>0.2</v>
      </c>
      <c r="AK160" s="2" t="n">
        <v>30</v>
      </c>
      <c r="AL160" s="2"/>
      <c r="AM160" s="2"/>
      <c r="AN160" s="2" t="n">
        <v>6.8</v>
      </c>
      <c r="AO160" s="2" t="n">
        <v>1.7</v>
      </c>
      <c r="AP160" s="2" t="n">
        <v>1.4</v>
      </c>
      <c r="AQ160" s="2" t="n">
        <v>3.4</v>
      </c>
      <c r="AR160" s="2" t="n">
        <v>0.3</v>
      </c>
      <c r="AS160" s="2" t="n">
        <v>3.7</v>
      </c>
      <c r="AT160" s="2" t="n">
        <v>0.1</v>
      </c>
      <c r="AU160" s="2" t="n">
        <v>1.6</v>
      </c>
      <c r="AV160" s="2" t="n">
        <v>1.7</v>
      </c>
      <c r="AW160" s="2" t="n">
        <v>7</v>
      </c>
      <c r="AX160" s="2"/>
      <c r="AY160" s="2"/>
      <c r="AZ160" s="2"/>
      <c r="BA160" s="2"/>
      <c r="BB160" s="2"/>
      <c r="BC160" s="2"/>
      <c r="BD160" s="4" t="s">
        <v>656</v>
      </c>
    </row>
    <row r="161" customFormat="false" ht="15" hidden="false" customHeight="false" outlineLevel="0" collapsed="false">
      <c r="A161" s="2" t="n">
        <v>923977</v>
      </c>
      <c r="B161" s="2" t="s">
        <v>657</v>
      </c>
      <c r="C161" s="2" t="s">
        <v>644</v>
      </c>
      <c r="D161" s="2" t="s">
        <v>341</v>
      </c>
      <c r="E161" s="2" t="s">
        <v>59</v>
      </c>
      <c r="F161" s="2" t="s">
        <v>70</v>
      </c>
      <c r="G161" s="2" t="s">
        <v>658</v>
      </c>
      <c r="H161" s="2" t="s">
        <v>659</v>
      </c>
      <c r="I161" s="2" t="n">
        <v>12</v>
      </c>
      <c r="J161" s="2" t="n">
        <v>31</v>
      </c>
      <c r="K161" s="2" t="s">
        <v>660</v>
      </c>
      <c r="L161" s="2" t="s">
        <v>67</v>
      </c>
      <c r="M161" s="2" t="n">
        <v>170</v>
      </c>
      <c r="N161" s="3" t="n">
        <v>50000</v>
      </c>
      <c r="O161" s="2"/>
      <c r="P161" s="2" t="n">
        <v>24</v>
      </c>
      <c r="Q161" s="3" t="n">
        <v>1693</v>
      </c>
      <c r="R161" s="2" t="n">
        <v>6.75</v>
      </c>
      <c r="S161" s="2" t="n">
        <v>1</v>
      </c>
      <c r="T161" s="2"/>
      <c r="U161" s="2"/>
      <c r="V161" s="2"/>
      <c r="W161" s="2"/>
      <c r="X161" s="2"/>
      <c r="Y161" s="2" t="n">
        <v>0.6</v>
      </c>
      <c r="Z161" s="2" t="n">
        <v>0.2</v>
      </c>
      <c r="AA161" s="2" t="n">
        <v>0</v>
      </c>
      <c r="AB161" s="2"/>
      <c r="AC161" s="2" t="n">
        <v>19</v>
      </c>
      <c r="AD161" s="2" t="n">
        <v>1</v>
      </c>
      <c r="AE161" s="2" t="n">
        <v>5</v>
      </c>
      <c r="AF161" s="2" t="n">
        <v>19.4</v>
      </c>
      <c r="AG161" s="2" t="n">
        <v>67.5</v>
      </c>
      <c r="AH161" s="2" t="n">
        <v>1.6</v>
      </c>
      <c r="AI161" s="2" t="n">
        <v>28.4</v>
      </c>
      <c r="AJ161" s="2" t="n">
        <v>0.4</v>
      </c>
      <c r="AK161" s="2" t="n">
        <v>33.3</v>
      </c>
      <c r="AL161" s="2" t="n">
        <v>1</v>
      </c>
      <c r="AM161" s="2" t="n">
        <v>1.1</v>
      </c>
      <c r="AN161" s="2" t="n">
        <v>3.5</v>
      </c>
      <c r="AO161" s="2" t="n">
        <v>1.1</v>
      </c>
      <c r="AP161" s="2" t="n">
        <v>0.8</v>
      </c>
      <c r="AQ161" s="2" t="n">
        <v>1.4</v>
      </c>
      <c r="AR161" s="2" t="n">
        <v>0.1</v>
      </c>
      <c r="AS161" s="2" t="n">
        <v>3.6</v>
      </c>
      <c r="AT161" s="2" t="n">
        <v>0.9</v>
      </c>
      <c r="AU161" s="2" t="n">
        <v>1.1</v>
      </c>
      <c r="AV161" s="2" t="n">
        <v>0.8</v>
      </c>
      <c r="AW161" s="2" t="n">
        <v>6</v>
      </c>
      <c r="AX161" s="2"/>
      <c r="AY161" s="2"/>
      <c r="AZ161" s="2"/>
      <c r="BA161" s="2"/>
      <c r="BB161" s="2"/>
      <c r="BC161" s="2"/>
      <c r="BD161" s="4" t="s">
        <v>661</v>
      </c>
    </row>
    <row r="162" customFormat="false" ht="15" hidden="false" customHeight="false" outlineLevel="0" collapsed="false">
      <c r="A162" s="2" t="n">
        <v>860075</v>
      </c>
      <c r="B162" s="2" t="s">
        <v>662</v>
      </c>
      <c r="C162" s="2" t="s">
        <v>644</v>
      </c>
      <c r="D162" s="2" t="s">
        <v>341</v>
      </c>
      <c r="E162" s="2" t="s">
        <v>59</v>
      </c>
      <c r="F162" s="2" t="s">
        <v>70</v>
      </c>
      <c r="G162" s="2" t="s">
        <v>75</v>
      </c>
      <c r="H162" s="2" t="s">
        <v>75</v>
      </c>
      <c r="I162" s="2" t="n">
        <v>15</v>
      </c>
      <c r="J162" s="2" t="n">
        <v>28</v>
      </c>
      <c r="K162" s="2" t="s">
        <v>663</v>
      </c>
      <c r="L162" s="2" t="s">
        <v>67</v>
      </c>
      <c r="M162" s="2" t="n">
        <v>196</v>
      </c>
      <c r="N162" s="3" t="n">
        <v>50000</v>
      </c>
      <c r="O162" s="2"/>
      <c r="P162" s="2" t="n">
        <v>20</v>
      </c>
      <c r="Q162" s="3" t="n">
        <v>1558</v>
      </c>
      <c r="R162" s="2" t="n">
        <v>7</v>
      </c>
      <c r="S162" s="2" t="n">
        <v>1</v>
      </c>
      <c r="T162" s="2" t="n">
        <v>2</v>
      </c>
      <c r="U162" s="2" t="n">
        <v>0</v>
      </c>
      <c r="V162" s="2"/>
      <c r="W162" s="2"/>
      <c r="X162" s="2" t="n">
        <v>0.12</v>
      </c>
      <c r="Y162" s="2" t="n">
        <v>0.6</v>
      </c>
      <c r="Z162" s="2" t="n">
        <v>0.2</v>
      </c>
      <c r="AA162" s="2" t="n">
        <v>18.2</v>
      </c>
      <c r="AB162" s="2" t="n">
        <v>2</v>
      </c>
      <c r="AC162" s="2" t="n">
        <v>3</v>
      </c>
      <c r="AD162" s="2" t="n">
        <v>0.2</v>
      </c>
      <c r="AE162" s="2"/>
      <c r="AF162" s="2" t="n">
        <v>31.7</v>
      </c>
      <c r="AG162" s="2" t="n">
        <v>75.1</v>
      </c>
      <c r="AH162" s="2" t="n">
        <v>3.8</v>
      </c>
      <c r="AI162" s="2" t="n">
        <v>38.6</v>
      </c>
      <c r="AJ162" s="2" t="n">
        <v>0.5</v>
      </c>
      <c r="AK162" s="2" t="n">
        <v>66.7</v>
      </c>
      <c r="AL162" s="2"/>
      <c r="AM162" s="2"/>
      <c r="AN162" s="2" t="n">
        <v>7.7</v>
      </c>
      <c r="AO162" s="2" t="n">
        <v>1.3</v>
      </c>
      <c r="AP162" s="2" t="n">
        <v>1</v>
      </c>
      <c r="AQ162" s="2" t="n">
        <v>5</v>
      </c>
      <c r="AR162" s="2" t="n">
        <v>0.4</v>
      </c>
      <c r="AS162" s="2" t="n">
        <v>3.1</v>
      </c>
      <c r="AT162" s="2" t="n">
        <v>0.1</v>
      </c>
      <c r="AU162" s="2" t="n">
        <v>0.8</v>
      </c>
      <c r="AV162" s="2" t="n">
        <v>1.7</v>
      </c>
      <c r="AW162" s="2" t="n">
        <v>9</v>
      </c>
      <c r="AX162" s="2"/>
      <c r="AY162" s="2"/>
      <c r="AZ162" s="2"/>
      <c r="BA162" s="2"/>
      <c r="BB162" s="2"/>
      <c r="BC162" s="2"/>
      <c r="BD162" s="4" t="s">
        <v>664</v>
      </c>
    </row>
    <row r="163" customFormat="false" ht="15" hidden="false" customHeight="false" outlineLevel="0" collapsed="false">
      <c r="A163" s="2" t="n">
        <v>1172998</v>
      </c>
      <c r="B163" s="2" t="s">
        <v>665</v>
      </c>
      <c r="C163" s="2" t="s">
        <v>644</v>
      </c>
      <c r="D163" s="2" t="s">
        <v>341</v>
      </c>
      <c r="E163" s="2" t="s">
        <v>59</v>
      </c>
      <c r="F163" s="2" t="s">
        <v>70</v>
      </c>
      <c r="G163" s="2" t="s">
        <v>75</v>
      </c>
      <c r="H163" s="2" t="s">
        <v>75</v>
      </c>
      <c r="I163" s="2" t="n">
        <v>91</v>
      </c>
      <c r="J163" s="2" t="n">
        <v>26</v>
      </c>
      <c r="K163" s="2" t="s">
        <v>666</v>
      </c>
      <c r="L163" s="2" t="s">
        <v>243</v>
      </c>
      <c r="M163" s="2" t="n">
        <v>188</v>
      </c>
      <c r="N163" s="3" t="n">
        <v>69250</v>
      </c>
      <c r="O163" s="2"/>
      <c r="P163" s="2" t="n">
        <v>18</v>
      </c>
      <c r="Q163" s="3" t="n">
        <v>1460</v>
      </c>
      <c r="R163" s="2" t="n">
        <v>6.91</v>
      </c>
      <c r="S163" s="2" t="n">
        <v>0</v>
      </c>
      <c r="T163" s="2"/>
      <c r="U163" s="2"/>
      <c r="V163" s="2"/>
      <c r="W163" s="2"/>
      <c r="X163" s="2"/>
      <c r="Y163" s="2" t="n">
        <v>0.4</v>
      </c>
      <c r="Z163" s="2"/>
      <c r="AA163" s="2" t="n">
        <v>0</v>
      </c>
      <c r="AB163" s="2"/>
      <c r="AC163" s="2" t="n">
        <v>5</v>
      </c>
      <c r="AD163" s="2" t="n">
        <v>0.3</v>
      </c>
      <c r="AE163" s="2"/>
      <c r="AF163" s="2" t="n">
        <v>35.4</v>
      </c>
      <c r="AG163" s="2" t="n">
        <v>84.9</v>
      </c>
      <c r="AH163" s="2" t="n">
        <v>2.8</v>
      </c>
      <c r="AI163" s="2" t="n">
        <v>46.4</v>
      </c>
      <c r="AJ163" s="2" t="n">
        <v>0.1</v>
      </c>
      <c r="AK163" s="2" t="n">
        <v>100</v>
      </c>
      <c r="AL163" s="2"/>
      <c r="AM163" s="2"/>
      <c r="AN163" s="2" t="n">
        <v>7.6</v>
      </c>
      <c r="AO163" s="2" t="n">
        <v>1</v>
      </c>
      <c r="AP163" s="2" t="n">
        <v>1.2</v>
      </c>
      <c r="AQ163" s="2" t="n">
        <v>4.7</v>
      </c>
      <c r="AR163" s="2" t="n">
        <v>0.7</v>
      </c>
      <c r="AS163" s="2" t="n">
        <v>2.6</v>
      </c>
      <c r="AT163" s="2"/>
      <c r="AU163" s="2"/>
      <c r="AV163" s="2" t="n">
        <v>1.4</v>
      </c>
      <c r="AW163" s="2" t="n">
        <v>7</v>
      </c>
      <c r="AX163" s="2"/>
      <c r="AY163" s="2"/>
      <c r="AZ163" s="2"/>
      <c r="BA163" s="2"/>
      <c r="BB163" s="2"/>
      <c r="BC163" s="2"/>
      <c r="BD163" s="4" t="s">
        <v>667</v>
      </c>
    </row>
    <row r="164" customFormat="false" ht="15" hidden="false" customHeight="false" outlineLevel="0" collapsed="false">
      <c r="A164" s="2" t="n">
        <v>1355679</v>
      </c>
      <c r="B164" s="2" t="s">
        <v>668</v>
      </c>
      <c r="C164" s="2" t="s">
        <v>644</v>
      </c>
      <c r="D164" s="2" t="s">
        <v>341</v>
      </c>
      <c r="E164" s="2" t="s">
        <v>59</v>
      </c>
      <c r="F164" s="2" t="s">
        <v>70</v>
      </c>
      <c r="G164" s="2" t="s">
        <v>75</v>
      </c>
      <c r="H164" s="2" t="s">
        <v>669</v>
      </c>
      <c r="I164" s="2" t="n">
        <v>4</v>
      </c>
      <c r="J164" s="2" t="n">
        <v>26</v>
      </c>
      <c r="K164" s="2" t="s">
        <v>670</v>
      </c>
      <c r="L164" s="2" t="s">
        <v>149</v>
      </c>
      <c r="M164" s="2" t="n">
        <v>185</v>
      </c>
      <c r="N164" s="3" t="n">
        <v>236459</v>
      </c>
      <c r="O164" s="2"/>
      <c r="P164" s="2" t="n">
        <v>20</v>
      </c>
      <c r="Q164" s="3" t="n">
        <v>1226</v>
      </c>
      <c r="R164" s="2" t="n">
        <v>6.82</v>
      </c>
      <c r="S164" s="2" t="n">
        <v>1</v>
      </c>
      <c r="T164" s="2" t="n">
        <v>3</v>
      </c>
      <c r="U164" s="2" t="n">
        <v>0</v>
      </c>
      <c r="V164" s="2" t="n">
        <v>1</v>
      </c>
      <c r="W164" s="2"/>
      <c r="X164" s="2" t="n">
        <v>0.22</v>
      </c>
      <c r="Y164" s="2" t="n">
        <v>0.9</v>
      </c>
      <c r="Z164" s="2" t="n">
        <v>0.5</v>
      </c>
      <c r="AA164" s="2" t="n">
        <v>25</v>
      </c>
      <c r="AB164" s="2" t="n">
        <v>2</v>
      </c>
      <c r="AC164" s="2" t="n">
        <v>5</v>
      </c>
      <c r="AD164" s="2" t="n">
        <v>0.4</v>
      </c>
      <c r="AE164" s="2"/>
      <c r="AF164" s="2" t="n">
        <v>30</v>
      </c>
      <c r="AG164" s="2" t="n">
        <v>80.7</v>
      </c>
      <c r="AH164" s="2" t="n">
        <v>2</v>
      </c>
      <c r="AI164" s="2" t="n">
        <v>38.6</v>
      </c>
      <c r="AJ164" s="2" t="n">
        <v>0.1</v>
      </c>
      <c r="AK164" s="2" t="n">
        <v>66.7</v>
      </c>
      <c r="AL164" s="2"/>
      <c r="AM164" s="2"/>
      <c r="AN164" s="2" t="n">
        <v>5.4</v>
      </c>
      <c r="AO164" s="2" t="n">
        <v>0.9</v>
      </c>
      <c r="AP164" s="2" t="n">
        <v>1</v>
      </c>
      <c r="AQ164" s="2" t="n">
        <v>2.9</v>
      </c>
      <c r="AR164" s="2" t="n">
        <v>0.6</v>
      </c>
      <c r="AS164" s="2" t="n">
        <v>2.8</v>
      </c>
      <c r="AT164" s="2" t="n">
        <v>0.1</v>
      </c>
      <c r="AU164" s="2" t="n">
        <v>1</v>
      </c>
      <c r="AV164" s="2" t="n">
        <v>1</v>
      </c>
      <c r="AW164" s="2" t="n">
        <v>5</v>
      </c>
      <c r="AX164" s="2"/>
      <c r="AY164" s="2"/>
      <c r="AZ164" s="2"/>
      <c r="BA164" s="2"/>
      <c r="BB164" s="2"/>
      <c r="BC164" s="2"/>
      <c r="BD164" s="4" t="s">
        <v>671</v>
      </c>
    </row>
    <row r="165" customFormat="false" ht="15" hidden="false" customHeight="false" outlineLevel="0" collapsed="false">
      <c r="A165" s="2" t="n">
        <v>1626133</v>
      </c>
      <c r="B165" s="2" t="s">
        <v>672</v>
      </c>
      <c r="C165" s="2" t="s">
        <v>644</v>
      </c>
      <c r="D165" s="2" t="s">
        <v>341</v>
      </c>
      <c r="E165" s="2" t="s">
        <v>59</v>
      </c>
      <c r="F165" s="2" t="s">
        <v>70</v>
      </c>
      <c r="G165" s="2" t="s">
        <v>673</v>
      </c>
      <c r="H165" s="2" t="s">
        <v>673</v>
      </c>
      <c r="I165" s="2" t="n">
        <v>44</v>
      </c>
      <c r="J165" s="2" t="n">
        <v>27</v>
      </c>
      <c r="K165" s="2" t="s">
        <v>674</v>
      </c>
      <c r="L165" s="2" t="s">
        <v>67</v>
      </c>
      <c r="M165" s="2" t="n">
        <v>185</v>
      </c>
      <c r="N165" s="3"/>
      <c r="O165" s="2"/>
      <c r="P165" s="2" t="n">
        <v>11</v>
      </c>
      <c r="Q165" s="3" t="n">
        <v>771</v>
      </c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 t="n">
        <v>9</v>
      </c>
      <c r="AD165" s="2" t="n">
        <v>1.1</v>
      </c>
      <c r="AE165" s="2" t="n">
        <v>1</v>
      </c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 t="n">
        <v>1</v>
      </c>
      <c r="AX165" s="2"/>
      <c r="AY165" s="2"/>
      <c r="AZ165" s="2"/>
      <c r="BA165" s="2"/>
      <c r="BB165" s="2"/>
      <c r="BC165" s="2"/>
      <c r="BD165" s="4" t="s">
        <v>675</v>
      </c>
    </row>
    <row r="166" customFormat="false" ht="15" hidden="false" customHeight="false" outlineLevel="0" collapsed="false">
      <c r="A166" s="2" t="n">
        <v>793911</v>
      </c>
      <c r="B166" s="2" t="s">
        <v>676</v>
      </c>
      <c r="C166" s="2" t="s">
        <v>644</v>
      </c>
      <c r="D166" s="2" t="s">
        <v>341</v>
      </c>
      <c r="E166" s="2" t="s">
        <v>59</v>
      </c>
      <c r="F166" s="2" t="s">
        <v>70</v>
      </c>
      <c r="G166" s="2" t="s">
        <v>673</v>
      </c>
      <c r="H166" s="2" t="s">
        <v>677</v>
      </c>
      <c r="I166" s="2" t="n">
        <v>47</v>
      </c>
      <c r="J166" s="2" t="n">
        <v>27</v>
      </c>
      <c r="K166" s="2" t="s">
        <v>678</v>
      </c>
      <c r="L166" s="2" t="s">
        <v>679</v>
      </c>
      <c r="M166" s="2" t="n">
        <v>178</v>
      </c>
      <c r="N166" s="3" t="n">
        <v>50000</v>
      </c>
      <c r="O166" s="2"/>
      <c r="P166" s="2" t="n">
        <v>10</v>
      </c>
      <c r="Q166" s="3" t="n">
        <v>662</v>
      </c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 t="n">
        <v>1</v>
      </c>
      <c r="AC166" s="2" t="n">
        <v>8</v>
      </c>
      <c r="AD166" s="2" t="n">
        <v>1.1</v>
      </c>
      <c r="AE166" s="2" t="n">
        <v>1</v>
      </c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 t="n">
        <v>2</v>
      </c>
      <c r="AX166" s="2"/>
      <c r="AY166" s="2"/>
      <c r="AZ166" s="2"/>
      <c r="BA166" s="2"/>
      <c r="BB166" s="2"/>
      <c r="BC166" s="2"/>
      <c r="BD166" s="4" t="s">
        <v>680</v>
      </c>
    </row>
    <row r="167" customFormat="false" ht="15" hidden="false" customHeight="false" outlineLevel="0" collapsed="false">
      <c r="A167" s="2" t="n">
        <v>1913765</v>
      </c>
      <c r="B167" s="2" t="s">
        <v>681</v>
      </c>
      <c r="C167" s="2" t="s">
        <v>644</v>
      </c>
      <c r="D167" s="2" t="s">
        <v>341</v>
      </c>
      <c r="E167" s="2" t="s">
        <v>59</v>
      </c>
      <c r="F167" s="2" t="s">
        <v>70</v>
      </c>
      <c r="G167" s="2" t="s">
        <v>75</v>
      </c>
      <c r="H167" s="2" t="s">
        <v>75</v>
      </c>
      <c r="I167" s="2" t="n">
        <v>25</v>
      </c>
      <c r="J167" s="2" t="n">
        <v>23</v>
      </c>
      <c r="K167" s="2" t="s">
        <v>682</v>
      </c>
      <c r="L167" s="2" t="s">
        <v>67</v>
      </c>
      <c r="M167" s="2" t="n">
        <v>191</v>
      </c>
      <c r="N167" s="3"/>
      <c r="O167" s="2"/>
      <c r="P167" s="2" t="n">
        <v>13</v>
      </c>
      <c r="Q167" s="3" t="n">
        <v>657</v>
      </c>
      <c r="R167" s="2"/>
      <c r="S167" s="2"/>
      <c r="T167" s="2" t="n">
        <v>1</v>
      </c>
      <c r="U167" s="2" t="n">
        <v>0</v>
      </c>
      <c r="V167" s="2"/>
      <c r="W167" s="2"/>
      <c r="X167" s="2" t="n">
        <v>0.14</v>
      </c>
      <c r="Y167" s="2" t="n">
        <v>0.4</v>
      </c>
      <c r="Z167" s="2" t="n">
        <v>0.1</v>
      </c>
      <c r="AA167" s="2" t="n">
        <v>33.3</v>
      </c>
      <c r="AB167" s="2"/>
      <c r="AC167" s="2" t="n">
        <v>2</v>
      </c>
      <c r="AD167" s="2" t="n">
        <v>0.3</v>
      </c>
      <c r="AE167" s="2"/>
      <c r="AF167" s="2" t="n">
        <v>22.1</v>
      </c>
      <c r="AG167" s="2" t="n">
        <v>76.3</v>
      </c>
      <c r="AH167" s="2" t="n">
        <v>1.9</v>
      </c>
      <c r="AI167" s="2" t="n">
        <v>31.1</v>
      </c>
      <c r="AJ167" s="2"/>
      <c r="AK167" s="2"/>
      <c r="AL167" s="2"/>
      <c r="AM167" s="2"/>
      <c r="AN167" s="2" t="n">
        <v>7.5</v>
      </c>
      <c r="AO167" s="2" t="n">
        <v>1.8</v>
      </c>
      <c r="AP167" s="2" t="n">
        <v>1.1</v>
      </c>
      <c r="AQ167" s="2" t="n">
        <v>4</v>
      </c>
      <c r="AR167" s="2" t="n">
        <v>0.7</v>
      </c>
      <c r="AS167" s="2" t="n">
        <v>1.2</v>
      </c>
      <c r="AT167" s="2"/>
      <c r="AU167" s="2"/>
      <c r="AV167" s="2" t="n">
        <v>1.9</v>
      </c>
      <c r="AW167" s="2" t="n">
        <v>5</v>
      </c>
      <c r="AX167" s="2"/>
      <c r="AY167" s="2" t="n">
        <v>1</v>
      </c>
      <c r="AZ167" s="2"/>
      <c r="BA167" s="2"/>
      <c r="BB167" s="2"/>
      <c r="BC167" s="2"/>
      <c r="BD167" s="4" t="s">
        <v>683</v>
      </c>
    </row>
    <row r="168" customFormat="false" ht="15" hidden="false" customHeight="false" outlineLevel="0" collapsed="false">
      <c r="A168" s="2" t="n">
        <v>1715116</v>
      </c>
      <c r="B168" s="2" t="s">
        <v>684</v>
      </c>
      <c r="C168" s="2" t="s">
        <v>644</v>
      </c>
      <c r="D168" s="2" t="s">
        <v>341</v>
      </c>
      <c r="E168" s="2" t="s">
        <v>59</v>
      </c>
      <c r="F168" s="2" t="s">
        <v>70</v>
      </c>
      <c r="G168" s="2" t="s">
        <v>92</v>
      </c>
      <c r="H168" s="2" t="s">
        <v>276</v>
      </c>
      <c r="I168" s="2" t="n">
        <v>23</v>
      </c>
      <c r="J168" s="2" t="n">
        <v>24</v>
      </c>
      <c r="K168" s="2" t="s">
        <v>685</v>
      </c>
      <c r="L168" s="2" t="s">
        <v>67</v>
      </c>
      <c r="M168" s="2" t="n">
        <v>183</v>
      </c>
      <c r="N168" s="3" t="n">
        <v>207360</v>
      </c>
      <c r="O168" s="2"/>
      <c r="P168" s="2" t="n">
        <v>6</v>
      </c>
      <c r="Q168" s="3" t="n">
        <v>365</v>
      </c>
      <c r="R168" s="2"/>
      <c r="S168" s="2"/>
      <c r="T168" s="2" t="n">
        <v>1</v>
      </c>
      <c r="U168" s="2" t="n">
        <v>0</v>
      </c>
      <c r="V168" s="2" t="n">
        <v>1</v>
      </c>
      <c r="W168" s="2"/>
      <c r="X168" s="2"/>
      <c r="Y168" s="2"/>
      <c r="Z168" s="2"/>
      <c r="AA168" s="2"/>
      <c r="AB168" s="2" t="n">
        <v>1</v>
      </c>
      <c r="AC168" s="2" t="n">
        <v>8</v>
      </c>
      <c r="AD168" s="2" t="n">
        <v>2</v>
      </c>
      <c r="AE168" s="2" t="n">
        <v>4</v>
      </c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 t="n">
        <v>1</v>
      </c>
      <c r="AX168" s="2"/>
      <c r="AY168" s="2"/>
      <c r="AZ168" s="2"/>
      <c r="BA168" s="2"/>
      <c r="BB168" s="2"/>
      <c r="BC168" s="2"/>
      <c r="BD168" s="4" t="s">
        <v>686</v>
      </c>
    </row>
    <row r="169" customFormat="false" ht="15" hidden="false" customHeight="false" outlineLevel="0" collapsed="false">
      <c r="A169" s="2" t="n">
        <v>1613722</v>
      </c>
      <c r="B169" s="2" t="s">
        <v>687</v>
      </c>
      <c r="C169" s="2" t="s">
        <v>644</v>
      </c>
      <c r="D169" s="2" t="s">
        <v>341</v>
      </c>
      <c r="E169" s="2" t="s">
        <v>59</v>
      </c>
      <c r="F169" s="2" t="s">
        <v>102</v>
      </c>
      <c r="G169" s="2" t="s">
        <v>404</v>
      </c>
      <c r="H169" s="2" t="s">
        <v>597</v>
      </c>
      <c r="I169" s="2" t="n">
        <v>13</v>
      </c>
      <c r="J169" s="2" t="n">
        <v>24</v>
      </c>
      <c r="K169" s="2" t="s">
        <v>688</v>
      </c>
      <c r="L169" s="2" t="s">
        <v>67</v>
      </c>
      <c r="M169" s="2" t="n">
        <v>185</v>
      </c>
      <c r="N169" s="3" t="n">
        <v>107944</v>
      </c>
      <c r="O169" s="2"/>
      <c r="P169" s="2" t="n">
        <v>24</v>
      </c>
      <c r="Q169" s="3" t="n">
        <v>2070</v>
      </c>
      <c r="R169" s="2" t="n">
        <v>7.11</v>
      </c>
      <c r="S169" s="2" t="n">
        <v>0</v>
      </c>
      <c r="T169" s="2" t="n">
        <v>2</v>
      </c>
      <c r="U169" s="2" t="n">
        <v>0</v>
      </c>
      <c r="V169" s="2" t="n">
        <v>4</v>
      </c>
      <c r="W169" s="2"/>
      <c r="X169" s="2" t="n">
        <v>0.09</v>
      </c>
      <c r="Y169" s="2" t="n">
        <v>0.7</v>
      </c>
      <c r="Z169" s="2" t="n">
        <v>0.2</v>
      </c>
      <c r="AA169" s="2" t="n">
        <v>13.3</v>
      </c>
      <c r="AB169" s="2"/>
      <c r="AC169" s="2" t="n">
        <v>24</v>
      </c>
      <c r="AD169" s="2" t="n">
        <v>1</v>
      </c>
      <c r="AE169" s="2" t="n">
        <v>4</v>
      </c>
      <c r="AF169" s="2" t="n">
        <v>30.2</v>
      </c>
      <c r="AG169" s="2" t="n">
        <v>80.4</v>
      </c>
      <c r="AH169" s="2" t="n">
        <v>2</v>
      </c>
      <c r="AI169" s="2" t="n">
        <v>51.7</v>
      </c>
      <c r="AJ169" s="2" t="n">
        <v>0.3</v>
      </c>
      <c r="AK169" s="2" t="n">
        <v>57.1</v>
      </c>
      <c r="AL169" s="2"/>
      <c r="AM169" s="2"/>
      <c r="AN169" s="2" t="n">
        <v>2.6</v>
      </c>
      <c r="AO169" s="2" t="n">
        <v>0.7</v>
      </c>
      <c r="AP169" s="2" t="n">
        <v>0.7</v>
      </c>
      <c r="AQ169" s="2" t="n">
        <v>1</v>
      </c>
      <c r="AR169" s="2" t="n">
        <v>0.2</v>
      </c>
      <c r="AS169" s="2" t="n">
        <v>4.1</v>
      </c>
      <c r="AT169" s="2" t="n">
        <v>0.3</v>
      </c>
      <c r="AU169" s="2" t="n">
        <v>2.4</v>
      </c>
      <c r="AV169" s="2" t="n">
        <v>1.2</v>
      </c>
      <c r="AW169" s="2" t="n">
        <v>6</v>
      </c>
      <c r="AX169" s="2"/>
      <c r="AY169" s="2" t="n">
        <v>1</v>
      </c>
      <c r="AZ169" s="2"/>
      <c r="BA169" s="2"/>
      <c r="BB169" s="2"/>
      <c r="BC169" s="2"/>
      <c r="BD169" s="4" t="s">
        <v>689</v>
      </c>
    </row>
    <row r="170" customFormat="false" ht="15" hidden="false" customHeight="false" outlineLevel="0" collapsed="false">
      <c r="A170" s="2" t="n">
        <v>851104</v>
      </c>
      <c r="B170" s="2" t="s">
        <v>690</v>
      </c>
      <c r="C170" s="2" t="s">
        <v>644</v>
      </c>
      <c r="D170" s="2" t="s">
        <v>341</v>
      </c>
      <c r="E170" s="2" t="s">
        <v>59</v>
      </c>
      <c r="F170" s="2" t="s">
        <v>102</v>
      </c>
      <c r="G170" s="2" t="s">
        <v>404</v>
      </c>
      <c r="H170" s="2" t="s">
        <v>691</v>
      </c>
      <c r="I170" s="2" t="n">
        <v>8</v>
      </c>
      <c r="J170" s="2" t="n">
        <v>28</v>
      </c>
      <c r="K170" s="2" t="s">
        <v>692</v>
      </c>
      <c r="L170" s="2" t="s">
        <v>503</v>
      </c>
      <c r="M170" s="2" t="n">
        <v>178</v>
      </c>
      <c r="N170" s="3" t="n">
        <v>50000</v>
      </c>
      <c r="O170" s="2"/>
      <c r="P170" s="2" t="n">
        <v>24</v>
      </c>
      <c r="Q170" s="3" t="n">
        <v>2067</v>
      </c>
      <c r="R170" s="2" t="n">
        <v>7.49</v>
      </c>
      <c r="S170" s="2" t="n">
        <v>4</v>
      </c>
      <c r="T170" s="2" t="n">
        <v>3</v>
      </c>
      <c r="U170" s="2" t="n">
        <v>2</v>
      </c>
      <c r="V170" s="2" t="n">
        <v>4</v>
      </c>
      <c r="W170" s="2"/>
      <c r="X170" s="2" t="n">
        <v>0.13</v>
      </c>
      <c r="Y170" s="2" t="n">
        <v>1.4</v>
      </c>
      <c r="Z170" s="2" t="n">
        <v>0.5</v>
      </c>
      <c r="AA170" s="2" t="n">
        <v>9.4</v>
      </c>
      <c r="AB170" s="2"/>
      <c r="AC170" s="2" t="n">
        <v>36</v>
      </c>
      <c r="AD170" s="2" t="n">
        <v>1.6</v>
      </c>
      <c r="AE170" s="2" t="n">
        <v>7</v>
      </c>
      <c r="AF170" s="2" t="n">
        <v>26.5</v>
      </c>
      <c r="AG170" s="2" t="n">
        <v>79.9</v>
      </c>
      <c r="AH170" s="2" t="n">
        <v>2</v>
      </c>
      <c r="AI170" s="2" t="n">
        <v>55.4</v>
      </c>
      <c r="AJ170" s="2" t="n">
        <v>0.8</v>
      </c>
      <c r="AK170" s="2" t="n">
        <v>52.9</v>
      </c>
      <c r="AL170" s="2"/>
      <c r="AM170" s="2"/>
      <c r="AN170" s="2" t="n">
        <v>5.3</v>
      </c>
      <c r="AO170" s="2" t="n">
        <v>2.5</v>
      </c>
      <c r="AP170" s="2" t="n">
        <v>1.1</v>
      </c>
      <c r="AQ170" s="2" t="n">
        <v>1.4</v>
      </c>
      <c r="AR170" s="2" t="n">
        <v>0.3</v>
      </c>
      <c r="AS170" s="2" t="n">
        <v>5.1</v>
      </c>
      <c r="AT170" s="2" t="n">
        <v>0.7</v>
      </c>
      <c r="AU170" s="2" t="n">
        <v>2.8</v>
      </c>
      <c r="AV170" s="2" t="n">
        <v>1.7</v>
      </c>
      <c r="AW170" s="2" t="n">
        <v>8</v>
      </c>
      <c r="AX170" s="2"/>
      <c r="AY170" s="2"/>
      <c r="AZ170" s="2"/>
      <c r="BA170" s="2"/>
      <c r="BB170" s="2"/>
      <c r="BC170" s="2"/>
      <c r="BD170" s="4" t="s">
        <v>693</v>
      </c>
    </row>
    <row r="171" customFormat="false" ht="15" hidden="false" customHeight="false" outlineLevel="0" collapsed="false">
      <c r="A171" s="2" t="n">
        <v>1171033</v>
      </c>
      <c r="B171" s="2" t="s">
        <v>694</v>
      </c>
      <c r="C171" s="2" t="s">
        <v>644</v>
      </c>
      <c r="D171" s="2" t="s">
        <v>341</v>
      </c>
      <c r="E171" s="2" t="s">
        <v>59</v>
      </c>
      <c r="F171" s="2" t="s">
        <v>102</v>
      </c>
      <c r="G171" s="2" t="s">
        <v>133</v>
      </c>
      <c r="H171" s="2" t="s">
        <v>695</v>
      </c>
      <c r="I171" s="2" t="n">
        <v>17</v>
      </c>
      <c r="J171" s="2" t="n">
        <v>23</v>
      </c>
      <c r="K171" s="2" t="s">
        <v>696</v>
      </c>
      <c r="L171" s="2" t="s">
        <v>67</v>
      </c>
      <c r="M171" s="2" t="n">
        <v>183</v>
      </c>
      <c r="N171" s="3" t="n">
        <v>186624</v>
      </c>
      <c r="O171" s="2"/>
      <c r="P171" s="2" t="n">
        <v>18</v>
      </c>
      <c r="Q171" s="3" t="n">
        <v>1278</v>
      </c>
      <c r="R171" s="2" t="n">
        <v>6.6</v>
      </c>
      <c r="S171" s="2" t="n">
        <v>0</v>
      </c>
      <c r="T171" s="2" t="n">
        <v>2</v>
      </c>
      <c r="U171" s="2" t="n">
        <v>0</v>
      </c>
      <c r="V171" s="2" t="n">
        <v>1</v>
      </c>
      <c r="W171" s="2"/>
      <c r="X171" s="2" t="n">
        <v>0.14</v>
      </c>
      <c r="Y171" s="2" t="n">
        <v>1.2</v>
      </c>
      <c r="Z171" s="2" t="n">
        <v>0.3</v>
      </c>
      <c r="AA171" s="2" t="n">
        <v>11.8</v>
      </c>
      <c r="AB171" s="2" t="n">
        <v>2</v>
      </c>
      <c r="AC171" s="2" t="n">
        <v>14</v>
      </c>
      <c r="AD171" s="2" t="n">
        <v>1</v>
      </c>
      <c r="AE171" s="2" t="n">
        <v>1</v>
      </c>
      <c r="AF171" s="2" t="n">
        <v>14.1</v>
      </c>
      <c r="AG171" s="2" t="n">
        <v>69.9</v>
      </c>
      <c r="AH171" s="2" t="n">
        <v>0.2</v>
      </c>
      <c r="AI171" s="2" t="n">
        <v>17.6</v>
      </c>
      <c r="AJ171" s="2" t="n">
        <v>0.4</v>
      </c>
      <c r="AK171" s="2" t="n">
        <v>41.7</v>
      </c>
      <c r="AL171" s="2"/>
      <c r="AM171" s="2"/>
      <c r="AN171" s="2" t="n">
        <v>2.1</v>
      </c>
      <c r="AO171" s="2" t="n">
        <v>1</v>
      </c>
      <c r="AP171" s="2" t="n">
        <v>0.5</v>
      </c>
      <c r="AQ171" s="2" t="n">
        <v>0.6</v>
      </c>
      <c r="AR171" s="2"/>
      <c r="AS171" s="2" t="n">
        <v>2.4</v>
      </c>
      <c r="AT171" s="2" t="n">
        <v>0.4</v>
      </c>
      <c r="AU171" s="2" t="n">
        <v>1.5</v>
      </c>
      <c r="AV171" s="2" t="n">
        <v>2</v>
      </c>
      <c r="AW171" s="2"/>
      <c r="AX171" s="2"/>
      <c r="AY171" s="2"/>
      <c r="AZ171" s="2"/>
      <c r="BA171" s="2"/>
      <c r="BB171" s="2"/>
      <c r="BC171" s="2"/>
      <c r="BD171" s="4" t="s">
        <v>697</v>
      </c>
    </row>
    <row r="172" customFormat="false" ht="15" hidden="false" customHeight="false" outlineLevel="0" collapsed="false">
      <c r="A172" s="2" t="n">
        <v>1207848</v>
      </c>
      <c r="B172" s="2" t="s">
        <v>698</v>
      </c>
      <c r="C172" s="2" t="s">
        <v>644</v>
      </c>
      <c r="D172" s="2" t="s">
        <v>341</v>
      </c>
      <c r="E172" s="2" t="s">
        <v>59</v>
      </c>
      <c r="F172" s="2" t="s">
        <v>102</v>
      </c>
      <c r="G172" s="2" t="s">
        <v>103</v>
      </c>
      <c r="H172" s="2" t="s">
        <v>699</v>
      </c>
      <c r="I172" s="2" t="n">
        <v>20</v>
      </c>
      <c r="J172" s="2" t="n">
        <v>26</v>
      </c>
      <c r="K172" s="2" t="s">
        <v>700</v>
      </c>
      <c r="L172" s="2" t="s">
        <v>125</v>
      </c>
      <c r="M172" s="2" t="n">
        <v>178</v>
      </c>
      <c r="N172" s="3" t="n">
        <v>61751</v>
      </c>
      <c r="O172" s="2"/>
      <c r="P172" s="2" t="n">
        <v>18</v>
      </c>
      <c r="Q172" s="3" t="n">
        <v>716</v>
      </c>
      <c r="R172" s="2" t="n">
        <v>6.23</v>
      </c>
      <c r="S172" s="2" t="n">
        <v>0</v>
      </c>
      <c r="T172" s="2"/>
      <c r="U172" s="2"/>
      <c r="V172" s="2" t="n">
        <v>1</v>
      </c>
      <c r="W172" s="2"/>
      <c r="X172" s="2"/>
      <c r="Y172" s="2" t="n">
        <v>0.5</v>
      </c>
      <c r="Z172" s="2"/>
      <c r="AA172" s="2" t="n">
        <v>0</v>
      </c>
      <c r="AB172" s="2"/>
      <c r="AC172" s="2" t="n">
        <v>4</v>
      </c>
      <c r="AD172" s="2" t="n">
        <v>0.5</v>
      </c>
      <c r="AE172" s="2" t="n">
        <v>2</v>
      </c>
      <c r="AF172" s="2" t="n">
        <v>15.6</v>
      </c>
      <c r="AG172" s="2" t="n">
        <v>69.7</v>
      </c>
      <c r="AH172" s="2" t="n">
        <v>0.3</v>
      </c>
      <c r="AI172" s="2" t="n">
        <v>22.2</v>
      </c>
      <c r="AJ172" s="2" t="n">
        <v>0.1</v>
      </c>
      <c r="AK172" s="2" t="n">
        <v>50</v>
      </c>
      <c r="AL172" s="2"/>
      <c r="AM172" s="2"/>
      <c r="AN172" s="2" t="n">
        <v>3</v>
      </c>
      <c r="AO172" s="2" t="n">
        <v>1</v>
      </c>
      <c r="AP172" s="2" t="n">
        <v>0.3</v>
      </c>
      <c r="AQ172" s="2" t="n">
        <v>1.1</v>
      </c>
      <c r="AR172" s="2" t="n">
        <v>0.6</v>
      </c>
      <c r="AS172" s="2" t="n">
        <v>2.8</v>
      </c>
      <c r="AT172" s="2" t="n">
        <v>0.5</v>
      </c>
      <c r="AU172" s="2" t="n">
        <v>1.8</v>
      </c>
      <c r="AV172" s="2" t="n">
        <v>1.5</v>
      </c>
      <c r="AW172" s="2"/>
      <c r="AX172" s="2"/>
      <c r="AY172" s="2" t="n">
        <v>1</v>
      </c>
      <c r="AZ172" s="2"/>
      <c r="BA172" s="2"/>
      <c r="BB172" s="2"/>
      <c r="BC172" s="2"/>
      <c r="BD172" s="4" t="s">
        <v>701</v>
      </c>
    </row>
    <row r="173" customFormat="false" ht="15" hidden="false" customHeight="false" outlineLevel="0" collapsed="false">
      <c r="A173" s="2" t="n">
        <v>1252869</v>
      </c>
      <c r="B173" s="2" t="s">
        <v>702</v>
      </c>
      <c r="C173" s="2" t="s">
        <v>644</v>
      </c>
      <c r="D173" s="2" t="s">
        <v>341</v>
      </c>
      <c r="E173" s="2" t="s">
        <v>59</v>
      </c>
      <c r="F173" s="2" t="s">
        <v>102</v>
      </c>
      <c r="G173" s="2" t="s">
        <v>221</v>
      </c>
      <c r="H173" s="2" t="s">
        <v>703</v>
      </c>
      <c r="I173" s="2" t="n">
        <v>2</v>
      </c>
      <c r="J173" s="2" t="n">
        <v>23</v>
      </c>
      <c r="K173" s="2" t="s">
        <v>704</v>
      </c>
      <c r="L173" s="2" t="s">
        <v>67</v>
      </c>
      <c r="M173" s="2" t="n">
        <v>183</v>
      </c>
      <c r="N173" s="3" t="n">
        <v>130356</v>
      </c>
      <c r="O173" s="2"/>
      <c r="P173" s="2" t="n">
        <v>10</v>
      </c>
      <c r="Q173" s="3" t="n">
        <v>681</v>
      </c>
      <c r="R173" s="2"/>
      <c r="S173" s="2"/>
      <c r="T173" s="2" t="n">
        <v>1</v>
      </c>
      <c r="U173" s="2" t="n">
        <v>0</v>
      </c>
      <c r="V173" s="2" t="n">
        <v>2</v>
      </c>
      <c r="W173" s="2"/>
      <c r="X173" s="2"/>
      <c r="Y173" s="2"/>
      <c r="Z173" s="2"/>
      <c r="AA173" s="2"/>
      <c r="AB173" s="2"/>
      <c r="AC173" s="2" t="n">
        <v>9</v>
      </c>
      <c r="AD173" s="2" t="n">
        <v>1.2</v>
      </c>
      <c r="AE173" s="2" t="n">
        <v>1</v>
      </c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 t="n">
        <v>2</v>
      </c>
      <c r="AX173" s="2"/>
      <c r="AY173" s="2"/>
      <c r="AZ173" s="2"/>
      <c r="BA173" s="2"/>
      <c r="BB173" s="2"/>
      <c r="BC173" s="2"/>
      <c r="BD173" s="4" t="s">
        <v>705</v>
      </c>
    </row>
    <row r="174" customFormat="false" ht="15" hidden="false" customHeight="false" outlineLevel="0" collapsed="false">
      <c r="A174" s="2" t="n">
        <v>1171983</v>
      </c>
      <c r="B174" s="2" t="s">
        <v>706</v>
      </c>
      <c r="C174" s="2" t="s">
        <v>644</v>
      </c>
      <c r="D174" s="2" t="s">
        <v>341</v>
      </c>
      <c r="E174" s="2" t="s">
        <v>59</v>
      </c>
      <c r="F174" s="2" t="s">
        <v>102</v>
      </c>
      <c r="G174" s="2" t="s">
        <v>658</v>
      </c>
      <c r="H174" s="2" t="s">
        <v>707</v>
      </c>
      <c r="I174" s="2" t="n">
        <v>31</v>
      </c>
      <c r="J174" s="2" t="n">
        <v>28</v>
      </c>
      <c r="K174" s="2" t="s">
        <v>708</v>
      </c>
      <c r="L174" s="2" t="s">
        <v>67</v>
      </c>
      <c r="M174" s="2" t="n">
        <v>175</v>
      </c>
      <c r="N174" s="3" t="n">
        <v>50000</v>
      </c>
      <c r="O174" s="2"/>
      <c r="P174" s="2" t="n">
        <v>5</v>
      </c>
      <c r="Q174" s="3" t="n">
        <v>423</v>
      </c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 t="n">
        <v>6</v>
      </c>
      <c r="AD174" s="2" t="n">
        <v>1.3</v>
      </c>
      <c r="AE174" s="2" t="n">
        <v>2</v>
      </c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 t="n">
        <v>1</v>
      </c>
      <c r="AX174" s="2"/>
      <c r="AY174" s="2"/>
      <c r="AZ174" s="2"/>
      <c r="BA174" s="2"/>
      <c r="BB174" s="2"/>
      <c r="BC174" s="2"/>
      <c r="BD174" s="4" t="s">
        <v>709</v>
      </c>
    </row>
    <row r="175" customFormat="false" ht="15" hidden="false" customHeight="false" outlineLevel="0" collapsed="false">
      <c r="A175" s="2" t="n">
        <v>1364155</v>
      </c>
      <c r="B175" s="2" t="s">
        <v>710</v>
      </c>
      <c r="C175" s="2" t="s">
        <v>644</v>
      </c>
      <c r="D175" s="2" t="s">
        <v>341</v>
      </c>
      <c r="E175" s="2" t="s">
        <v>59</v>
      </c>
      <c r="F175" s="2" t="s">
        <v>102</v>
      </c>
      <c r="G175" s="2" t="s">
        <v>113</v>
      </c>
      <c r="H175" s="2" t="s">
        <v>113</v>
      </c>
      <c r="I175" s="2" t="n">
        <v>22</v>
      </c>
      <c r="J175" s="2" t="n">
        <v>30</v>
      </c>
      <c r="K175" s="2" t="s">
        <v>711</v>
      </c>
      <c r="L175" s="2" t="s">
        <v>182</v>
      </c>
      <c r="M175" s="2" t="n">
        <v>183</v>
      </c>
      <c r="N175" s="3" t="n">
        <v>50000</v>
      </c>
      <c r="O175" s="2"/>
      <c r="P175" s="2" t="n">
        <v>15</v>
      </c>
      <c r="Q175" s="3" t="n">
        <v>346</v>
      </c>
      <c r="R175" s="2"/>
      <c r="S175" s="2"/>
      <c r="T175" s="2"/>
      <c r="U175" s="2"/>
      <c r="V175" s="2" t="n">
        <v>1</v>
      </c>
      <c r="W175" s="2"/>
      <c r="X175" s="2"/>
      <c r="Y175" s="2" t="n">
        <v>3.9</v>
      </c>
      <c r="Z175" s="2" t="n">
        <v>0.8</v>
      </c>
      <c r="AA175" s="2" t="n">
        <v>0</v>
      </c>
      <c r="AB175" s="2" t="n">
        <v>2</v>
      </c>
      <c r="AC175" s="2" t="n">
        <v>6</v>
      </c>
      <c r="AD175" s="2" t="n">
        <v>1.6</v>
      </c>
      <c r="AE175" s="2" t="n">
        <v>1</v>
      </c>
      <c r="AF175" s="2" t="n">
        <v>18.7</v>
      </c>
      <c r="AG175" s="2" t="n">
        <v>62.1</v>
      </c>
      <c r="AH175" s="2" t="n">
        <v>0.5</v>
      </c>
      <c r="AI175" s="2" t="n">
        <v>50</v>
      </c>
      <c r="AJ175" s="2" t="n">
        <v>1</v>
      </c>
      <c r="AK175" s="2" t="n">
        <v>66.7</v>
      </c>
      <c r="AL175" s="2"/>
      <c r="AM175" s="2"/>
      <c r="AN175" s="2" t="n">
        <v>2.3</v>
      </c>
      <c r="AO175" s="2" t="n">
        <v>1.3</v>
      </c>
      <c r="AP175" s="2" t="n">
        <v>0.3</v>
      </c>
      <c r="AQ175" s="2" t="n">
        <v>0.5</v>
      </c>
      <c r="AR175" s="2" t="n">
        <v>0.3</v>
      </c>
      <c r="AS175" s="2" t="n">
        <v>2.6</v>
      </c>
      <c r="AT175" s="2" t="n">
        <v>0.8</v>
      </c>
      <c r="AU175" s="2" t="n">
        <v>0.8</v>
      </c>
      <c r="AV175" s="2" t="n">
        <v>1.3</v>
      </c>
      <c r="AW175" s="2" t="n">
        <v>1</v>
      </c>
      <c r="AX175" s="2"/>
      <c r="AY175" s="2"/>
      <c r="AZ175" s="2"/>
      <c r="BA175" s="2"/>
      <c r="BB175" s="2"/>
      <c r="BC175" s="2"/>
      <c r="BD175" s="4" t="s">
        <v>712</v>
      </c>
    </row>
    <row r="176" customFormat="false" ht="15" hidden="false" customHeight="false" outlineLevel="0" collapsed="false">
      <c r="A176" s="2" t="n">
        <v>1356036</v>
      </c>
      <c r="B176" s="2" t="s">
        <v>713</v>
      </c>
      <c r="C176" s="2" t="s">
        <v>644</v>
      </c>
      <c r="D176" s="2" t="s">
        <v>341</v>
      </c>
      <c r="E176" s="2" t="s">
        <v>59</v>
      </c>
      <c r="F176" s="2" t="s">
        <v>102</v>
      </c>
      <c r="G176" s="2" t="s">
        <v>404</v>
      </c>
      <c r="H176" s="2" t="s">
        <v>404</v>
      </c>
      <c r="I176" s="2" t="n">
        <v>6</v>
      </c>
      <c r="J176" s="2" t="n">
        <v>23</v>
      </c>
      <c r="K176" s="2" t="s">
        <v>714</v>
      </c>
      <c r="L176" s="2" t="s">
        <v>89</v>
      </c>
      <c r="M176" s="2" t="n">
        <v>183</v>
      </c>
      <c r="N176" s="3" t="n">
        <v>233339</v>
      </c>
      <c r="O176" s="2"/>
      <c r="P176" s="2" t="n">
        <v>2</v>
      </c>
      <c r="Q176" s="3" t="n">
        <v>27</v>
      </c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 t="n">
        <v>1</v>
      </c>
      <c r="AX176" s="2"/>
      <c r="AY176" s="2"/>
      <c r="AZ176" s="2"/>
      <c r="BA176" s="2"/>
      <c r="BB176" s="2"/>
      <c r="BC176" s="2"/>
      <c r="BD176" s="4" t="s">
        <v>715</v>
      </c>
    </row>
    <row r="177" customFormat="false" ht="15" hidden="false" customHeight="false" outlineLevel="0" collapsed="false">
      <c r="A177" s="2" t="n">
        <v>1928446</v>
      </c>
      <c r="B177" s="2" t="s">
        <v>716</v>
      </c>
      <c r="C177" s="2" t="s">
        <v>644</v>
      </c>
      <c r="D177" s="2" t="s">
        <v>341</v>
      </c>
      <c r="E177" s="2" t="s">
        <v>59</v>
      </c>
      <c r="F177" s="2" t="s">
        <v>102</v>
      </c>
      <c r="G177" s="2"/>
      <c r="H177" s="2"/>
      <c r="I177" s="2" t="n">
        <v>27</v>
      </c>
      <c r="J177" s="2" t="n">
        <v>18</v>
      </c>
      <c r="K177" s="2" t="s">
        <v>717</v>
      </c>
      <c r="L177" s="2" t="s">
        <v>67</v>
      </c>
      <c r="M177" s="2" t="n">
        <v>185</v>
      </c>
      <c r="N177" s="3"/>
      <c r="O177" s="2"/>
      <c r="P177" s="2" t="n">
        <v>4</v>
      </c>
      <c r="Q177" s="3" t="n">
        <v>14</v>
      </c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4" t="s">
        <v>718</v>
      </c>
    </row>
    <row r="178" customFormat="false" ht="15" hidden="false" customHeight="false" outlineLevel="0" collapsed="false">
      <c r="A178" s="2" t="n">
        <v>653590</v>
      </c>
      <c r="B178" s="2" t="s">
        <v>719</v>
      </c>
      <c r="C178" s="2" t="s">
        <v>644</v>
      </c>
      <c r="D178" s="2" t="s">
        <v>341</v>
      </c>
      <c r="E178" s="2" t="s">
        <v>59</v>
      </c>
      <c r="F178" s="2" t="s">
        <v>102</v>
      </c>
      <c r="G178" s="2" t="s">
        <v>404</v>
      </c>
      <c r="H178" s="2" t="s">
        <v>404</v>
      </c>
      <c r="I178" s="2" t="n">
        <v>5</v>
      </c>
      <c r="J178" s="2" t="n">
        <v>32</v>
      </c>
      <c r="K178" s="2" t="s">
        <v>720</v>
      </c>
      <c r="L178" s="2" t="s">
        <v>178</v>
      </c>
      <c r="M178" s="2" t="n">
        <v>170</v>
      </c>
      <c r="N178" s="3" t="n">
        <v>50000</v>
      </c>
      <c r="O178" s="2"/>
      <c r="P178" s="2"/>
      <c r="Q178" s="3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4" t="s">
        <v>721</v>
      </c>
    </row>
    <row r="179" customFormat="false" ht="15" hidden="false" customHeight="false" outlineLevel="0" collapsed="false">
      <c r="A179" s="2" t="n">
        <v>1269658</v>
      </c>
      <c r="B179" s="2" t="s">
        <v>722</v>
      </c>
      <c r="C179" s="2" t="s">
        <v>644</v>
      </c>
      <c r="D179" s="2" t="s">
        <v>341</v>
      </c>
      <c r="E179" s="2" t="s">
        <v>59</v>
      </c>
      <c r="F179" s="2" t="s">
        <v>137</v>
      </c>
      <c r="G179" s="2" t="s">
        <v>147</v>
      </c>
      <c r="H179" s="2" t="s">
        <v>723</v>
      </c>
      <c r="I179" s="2" t="n">
        <v>9</v>
      </c>
      <c r="J179" s="2" t="n">
        <v>23</v>
      </c>
      <c r="K179" s="2" t="s">
        <v>724</v>
      </c>
      <c r="L179" s="2" t="s">
        <v>617</v>
      </c>
      <c r="M179" s="2" t="n">
        <v>191</v>
      </c>
      <c r="N179" s="3" t="n">
        <v>82608</v>
      </c>
      <c r="O179" s="2"/>
      <c r="P179" s="2" t="n">
        <v>23</v>
      </c>
      <c r="Q179" s="3" t="n">
        <v>1145</v>
      </c>
      <c r="R179" s="2" t="n">
        <v>6.57</v>
      </c>
      <c r="S179" s="2" t="n">
        <v>1</v>
      </c>
      <c r="T179" s="2" t="n">
        <v>6</v>
      </c>
      <c r="U179" s="2" t="n">
        <v>1</v>
      </c>
      <c r="V179" s="2"/>
      <c r="W179" s="2"/>
      <c r="X179" s="2" t="n">
        <v>0.47</v>
      </c>
      <c r="Y179" s="2" t="n">
        <v>3.4</v>
      </c>
      <c r="Z179" s="2" t="n">
        <v>1.4</v>
      </c>
      <c r="AA179" s="2" t="n">
        <v>14</v>
      </c>
      <c r="AB179" s="2" t="n">
        <v>2</v>
      </c>
      <c r="AC179" s="2" t="n">
        <v>14</v>
      </c>
      <c r="AD179" s="2" t="n">
        <v>1.1</v>
      </c>
      <c r="AE179" s="2" t="n">
        <v>1</v>
      </c>
      <c r="AF179" s="2" t="n">
        <v>13.4</v>
      </c>
      <c r="AG179" s="2" t="n">
        <v>73.3</v>
      </c>
      <c r="AH179" s="2" t="n">
        <v>0.4</v>
      </c>
      <c r="AI179" s="2" t="n">
        <v>62.5</v>
      </c>
      <c r="AJ179" s="2" t="n">
        <v>2.2</v>
      </c>
      <c r="AK179" s="2" t="n">
        <v>58.3</v>
      </c>
      <c r="AL179" s="2"/>
      <c r="AM179" s="2"/>
      <c r="AN179" s="2" t="n">
        <v>2.1</v>
      </c>
      <c r="AO179" s="2" t="n">
        <v>1.3</v>
      </c>
      <c r="AP179" s="2" t="n">
        <v>0.4</v>
      </c>
      <c r="AQ179" s="2" t="n">
        <v>0.5</v>
      </c>
      <c r="AR179" s="2"/>
      <c r="AS179" s="2" t="n">
        <v>3.1</v>
      </c>
      <c r="AT179" s="2" t="n">
        <v>0.4</v>
      </c>
      <c r="AU179" s="2" t="n">
        <v>1.2</v>
      </c>
      <c r="AV179" s="2" t="n">
        <v>3.1</v>
      </c>
      <c r="AW179" s="2" t="n">
        <v>4</v>
      </c>
      <c r="AX179" s="2"/>
      <c r="AY179" s="2"/>
      <c r="AZ179" s="2"/>
      <c r="BA179" s="2"/>
      <c r="BB179" s="2"/>
      <c r="BC179" s="2"/>
      <c r="BD179" s="4" t="s">
        <v>725</v>
      </c>
    </row>
    <row r="180" customFormat="false" ht="15" hidden="false" customHeight="false" outlineLevel="0" collapsed="false">
      <c r="A180" s="2" t="n">
        <v>1060334</v>
      </c>
      <c r="B180" s="2" t="s">
        <v>726</v>
      </c>
      <c r="C180" s="2" t="s">
        <v>644</v>
      </c>
      <c r="D180" s="2" t="s">
        <v>341</v>
      </c>
      <c r="E180" s="2" t="s">
        <v>59</v>
      </c>
      <c r="F180" s="2" t="s">
        <v>137</v>
      </c>
      <c r="G180" s="2" t="s">
        <v>147</v>
      </c>
      <c r="H180" s="2" t="s">
        <v>317</v>
      </c>
      <c r="I180" s="2" t="n">
        <v>14</v>
      </c>
      <c r="J180" s="2" t="n">
        <v>24</v>
      </c>
      <c r="K180" s="2" t="s">
        <v>727</v>
      </c>
      <c r="L180" s="2" t="s">
        <v>67</v>
      </c>
      <c r="M180" s="2" t="n">
        <v>185</v>
      </c>
      <c r="N180" s="3" t="n">
        <v>97256</v>
      </c>
      <c r="O180" s="2"/>
      <c r="P180" s="2" t="n">
        <v>22</v>
      </c>
      <c r="Q180" s="3" t="n">
        <v>1071</v>
      </c>
      <c r="R180" s="2" t="n">
        <v>6.46</v>
      </c>
      <c r="S180" s="2" t="n">
        <v>0</v>
      </c>
      <c r="T180" s="2" t="n">
        <v>5</v>
      </c>
      <c r="U180" s="2" t="n">
        <v>0</v>
      </c>
      <c r="V180" s="2"/>
      <c r="W180" s="2"/>
      <c r="X180" s="2" t="n">
        <v>0.42</v>
      </c>
      <c r="Y180" s="2" t="n">
        <v>2.3</v>
      </c>
      <c r="Z180" s="2" t="n">
        <v>0.9</v>
      </c>
      <c r="AA180" s="2" t="n">
        <v>18.5</v>
      </c>
      <c r="AB180" s="2" t="n">
        <v>7</v>
      </c>
      <c r="AC180" s="2" t="n">
        <v>9</v>
      </c>
      <c r="AD180" s="2" t="n">
        <v>0.8</v>
      </c>
      <c r="AE180" s="2" t="n">
        <v>1</v>
      </c>
      <c r="AF180" s="2" t="n">
        <v>10.1</v>
      </c>
      <c r="AG180" s="2" t="n">
        <v>69.8</v>
      </c>
      <c r="AH180" s="2" t="n">
        <v>0.3</v>
      </c>
      <c r="AI180" s="2" t="n">
        <v>57.1</v>
      </c>
      <c r="AJ180" s="2" t="n">
        <v>0.3</v>
      </c>
      <c r="AK180" s="2" t="n">
        <v>44.4</v>
      </c>
      <c r="AL180" s="2"/>
      <c r="AM180" s="2"/>
      <c r="AN180" s="2" t="n">
        <v>0.6</v>
      </c>
      <c r="AO180" s="2" t="n">
        <v>0.3</v>
      </c>
      <c r="AP180" s="2"/>
      <c r="AQ180" s="2" t="n">
        <v>0.3</v>
      </c>
      <c r="AR180" s="2"/>
      <c r="AS180" s="2" t="n">
        <v>2.2</v>
      </c>
      <c r="AT180" s="2" t="n">
        <v>0.6</v>
      </c>
      <c r="AU180" s="2" t="n">
        <v>1</v>
      </c>
      <c r="AV180" s="2" t="n">
        <v>1.3</v>
      </c>
      <c r="AW180" s="2" t="n">
        <v>3</v>
      </c>
      <c r="AX180" s="2"/>
      <c r="AY180" s="2"/>
      <c r="AZ180" s="2"/>
      <c r="BA180" s="2"/>
      <c r="BB180" s="2"/>
      <c r="BC180" s="2"/>
      <c r="BD180" s="4" t="s">
        <v>728</v>
      </c>
    </row>
    <row r="181" customFormat="false" ht="15" hidden="false" customHeight="false" outlineLevel="0" collapsed="false">
      <c r="A181" s="2" t="n">
        <v>1244942</v>
      </c>
      <c r="B181" s="2" t="s">
        <v>729</v>
      </c>
      <c r="C181" s="2" t="s">
        <v>644</v>
      </c>
      <c r="D181" s="2" t="s">
        <v>341</v>
      </c>
      <c r="E181" s="2" t="s">
        <v>59</v>
      </c>
      <c r="F181" s="2" t="s">
        <v>137</v>
      </c>
      <c r="G181" s="2" t="s">
        <v>138</v>
      </c>
      <c r="H181" s="2" t="s">
        <v>730</v>
      </c>
      <c r="I181" s="2" t="n">
        <v>10</v>
      </c>
      <c r="J181" s="2" t="n">
        <v>27</v>
      </c>
      <c r="K181" s="2" t="s">
        <v>731</v>
      </c>
      <c r="L181" s="2" t="s">
        <v>67</v>
      </c>
      <c r="M181" s="2" t="n">
        <v>183</v>
      </c>
      <c r="N181" s="3" t="n">
        <v>67514</v>
      </c>
      <c r="O181" s="2"/>
      <c r="P181" s="2" t="n">
        <v>20</v>
      </c>
      <c r="Q181" s="3" t="n">
        <v>973</v>
      </c>
      <c r="R181" s="2" t="n">
        <v>6.49</v>
      </c>
      <c r="S181" s="2" t="n">
        <v>0</v>
      </c>
      <c r="T181" s="2" t="n">
        <v>2</v>
      </c>
      <c r="U181" s="2" t="n">
        <v>0</v>
      </c>
      <c r="V181" s="2" t="n">
        <v>1</v>
      </c>
      <c r="W181" s="2"/>
      <c r="X181" s="2" t="n">
        <v>0.18</v>
      </c>
      <c r="Y181" s="2" t="n">
        <v>1.6</v>
      </c>
      <c r="Z181" s="2" t="n">
        <v>0.6</v>
      </c>
      <c r="AA181" s="2" t="n">
        <v>11.8</v>
      </c>
      <c r="AB181" s="2" t="n">
        <v>7</v>
      </c>
      <c r="AC181" s="2" t="n">
        <v>8</v>
      </c>
      <c r="AD181" s="2" t="n">
        <v>0.7</v>
      </c>
      <c r="AE181" s="2" t="n">
        <v>3</v>
      </c>
      <c r="AF181" s="2" t="n">
        <v>10.8</v>
      </c>
      <c r="AG181" s="2" t="n">
        <v>64.3</v>
      </c>
      <c r="AH181" s="2" t="n">
        <v>0.5</v>
      </c>
      <c r="AI181" s="2" t="n">
        <v>55.6</v>
      </c>
      <c r="AJ181" s="2" t="n">
        <v>0.9</v>
      </c>
      <c r="AK181" s="2" t="n">
        <v>50</v>
      </c>
      <c r="AL181" s="2"/>
      <c r="AM181" s="2"/>
      <c r="AN181" s="2" t="n">
        <v>2.6</v>
      </c>
      <c r="AO181" s="2" t="n">
        <v>1.4</v>
      </c>
      <c r="AP181" s="2" t="n">
        <v>0.2</v>
      </c>
      <c r="AQ181" s="2" t="n">
        <v>0.7</v>
      </c>
      <c r="AR181" s="2" t="n">
        <v>0.3</v>
      </c>
      <c r="AS181" s="2" t="n">
        <v>2.5</v>
      </c>
      <c r="AT181" s="2" t="n">
        <v>0.5</v>
      </c>
      <c r="AU181" s="2" t="n">
        <v>1.1</v>
      </c>
      <c r="AV181" s="2" t="n">
        <v>0.8</v>
      </c>
      <c r="AW181" s="2" t="n">
        <v>2</v>
      </c>
      <c r="AX181" s="2"/>
      <c r="AY181" s="2"/>
      <c r="AZ181" s="2"/>
      <c r="BA181" s="2"/>
      <c r="BB181" s="2"/>
      <c r="BC181" s="2"/>
      <c r="BD181" s="4" t="s">
        <v>732</v>
      </c>
    </row>
    <row r="182" customFormat="false" ht="15" hidden="false" customHeight="false" outlineLevel="0" collapsed="false">
      <c r="A182" s="2" t="n">
        <v>1259810</v>
      </c>
      <c r="B182" s="2" t="s">
        <v>733</v>
      </c>
      <c r="C182" s="2" t="s">
        <v>644</v>
      </c>
      <c r="D182" s="2" t="s">
        <v>341</v>
      </c>
      <c r="E182" s="2" t="s">
        <v>59</v>
      </c>
      <c r="F182" s="2" t="s">
        <v>137</v>
      </c>
      <c r="G182" s="2" t="s">
        <v>147</v>
      </c>
      <c r="H182" s="2" t="s">
        <v>147</v>
      </c>
      <c r="I182" s="2" t="n">
        <v>7</v>
      </c>
      <c r="J182" s="2" t="n">
        <v>27</v>
      </c>
      <c r="K182" s="2" t="s">
        <v>734</v>
      </c>
      <c r="L182" s="2" t="s">
        <v>243</v>
      </c>
      <c r="M182" s="2" t="n">
        <v>188</v>
      </c>
      <c r="N182" s="3" t="n">
        <v>62697</v>
      </c>
      <c r="O182" s="2"/>
      <c r="P182" s="2" t="n">
        <v>20</v>
      </c>
      <c r="Q182" s="3" t="n">
        <v>965</v>
      </c>
      <c r="R182" s="2" t="n">
        <v>6.52</v>
      </c>
      <c r="S182" s="2" t="n">
        <v>1</v>
      </c>
      <c r="T182" s="2" t="n">
        <v>5</v>
      </c>
      <c r="U182" s="2" t="n">
        <v>0</v>
      </c>
      <c r="V182" s="2" t="n">
        <v>1</v>
      </c>
      <c r="W182" s="2"/>
      <c r="X182" s="2" t="n">
        <v>0.47</v>
      </c>
      <c r="Y182" s="2" t="n">
        <v>2.8</v>
      </c>
      <c r="Z182" s="2" t="n">
        <v>0.9</v>
      </c>
      <c r="AA182" s="2" t="n">
        <v>16.7</v>
      </c>
      <c r="AB182" s="2" t="n">
        <v>2</v>
      </c>
      <c r="AC182" s="2" t="n">
        <v>8</v>
      </c>
      <c r="AD182" s="2" t="n">
        <v>0.7</v>
      </c>
      <c r="AE182" s="2" t="n">
        <v>1</v>
      </c>
      <c r="AF182" s="2" t="n">
        <v>8.6</v>
      </c>
      <c r="AG182" s="2" t="n">
        <v>74.2</v>
      </c>
      <c r="AH182" s="2" t="n">
        <v>0.3</v>
      </c>
      <c r="AI182" s="2" t="n">
        <v>60</v>
      </c>
      <c r="AJ182" s="2" t="n">
        <v>0.3</v>
      </c>
      <c r="AK182" s="2" t="n">
        <v>23.1</v>
      </c>
      <c r="AL182" s="2"/>
      <c r="AM182" s="2"/>
      <c r="AN182" s="2" t="n">
        <v>0.5</v>
      </c>
      <c r="AO182" s="2" t="n">
        <v>0.1</v>
      </c>
      <c r="AP182" s="2"/>
      <c r="AQ182" s="2" t="n">
        <v>0.2</v>
      </c>
      <c r="AR182" s="2" t="n">
        <v>0.2</v>
      </c>
      <c r="AS182" s="2" t="n">
        <v>1.4</v>
      </c>
      <c r="AT182" s="2" t="n">
        <v>0.6</v>
      </c>
      <c r="AU182" s="2" t="n">
        <v>0.7</v>
      </c>
      <c r="AV182" s="2" t="n">
        <v>1.6</v>
      </c>
      <c r="AW182" s="2" t="n">
        <v>3</v>
      </c>
      <c r="AX182" s="2"/>
      <c r="AY182" s="2"/>
      <c r="AZ182" s="2"/>
      <c r="BA182" s="2"/>
      <c r="BB182" s="2"/>
      <c r="BC182" s="2"/>
      <c r="BD182" s="4" t="s">
        <v>735</v>
      </c>
    </row>
    <row r="183" customFormat="false" ht="15" hidden="false" customHeight="false" outlineLevel="0" collapsed="false">
      <c r="A183" s="2" t="n">
        <v>1255515</v>
      </c>
      <c r="B183" s="2" t="s">
        <v>736</v>
      </c>
      <c r="C183" s="2" t="s">
        <v>644</v>
      </c>
      <c r="D183" s="2" t="s">
        <v>341</v>
      </c>
      <c r="E183" s="2" t="s">
        <v>59</v>
      </c>
      <c r="F183" s="2" t="s">
        <v>137</v>
      </c>
      <c r="G183" s="2" t="s">
        <v>138</v>
      </c>
      <c r="H183" s="2" t="s">
        <v>737</v>
      </c>
      <c r="I183" s="2" t="n">
        <v>66</v>
      </c>
      <c r="J183" s="2" t="n">
        <v>24</v>
      </c>
      <c r="K183" s="2" t="s">
        <v>738</v>
      </c>
      <c r="L183" s="2" t="s">
        <v>739</v>
      </c>
      <c r="M183" s="2" t="n">
        <v>170</v>
      </c>
      <c r="N183" s="3"/>
      <c r="O183" s="2"/>
      <c r="P183" s="2" t="n">
        <v>7</v>
      </c>
      <c r="Q183" s="3" t="n">
        <v>229</v>
      </c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 t="n">
        <v>1</v>
      </c>
      <c r="AD183" s="2" t="n">
        <v>0.4</v>
      </c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 t="n">
        <v>1</v>
      </c>
      <c r="AX183" s="2"/>
      <c r="AY183" s="2"/>
      <c r="AZ183" s="2"/>
      <c r="BA183" s="2"/>
      <c r="BB183" s="2"/>
      <c r="BC183" s="2"/>
      <c r="BD183" s="4" t="s">
        <v>740</v>
      </c>
    </row>
    <row r="184" customFormat="false" ht="15" hidden="false" customHeight="false" outlineLevel="0" collapsed="false">
      <c r="A184" s="2" t="n">
        <v>1343607</v>
      </c>
      <c r="B184" s="2" t="s">
        <v>741</v>
      </c>
      <c r="C184" s="2" t="s">
        <v>644</v>
      </c>
      <c r="D184" s="2" t="s">
        <v>341</v>
      </c>
      <c r="E184" s="2" t="s">
        <v>59</v>
      </c>
      <c r="F184" s="2" t="s">
        <v>137</v>
      </c>
      <c r="G184" s="2" t="s">
        <v>133</v>
      </c>
      <c r="H184" s="2" t="s">
        <v>742</v>
      </c>
      <c r="I184" s="2" t="n">
        <v>11</v>
      </c>
      <c r="J184" s="2" t="n">
        <v>27</v>
      </c>
      <c r="K184" s="2" t="s">
        <v>743</v>
      </c>
      <c r="L184" s="2" t="s">
        <v>67</v>
      </c>
      <c r="M184" s="2" t="n">
        <v>178</v>
      </c>
      <c r="N184" s="3" t="n">
        <v>207612</v>
      </c>
      <c r="O184" s="2"/>
      <c r="P184" s="2" t="n">
        <v>1</v>
      </c>
      <c r="Q184" s="3" t="n">
        <v>61</v>
      </c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4" t="s">
        <v>744</v>
      </c>
    </row>
    <row r="185" customFormat="false" ht="15" hidden="false" customHeight="false" outlineLevel="0" collapsed="false">
      <c r="A185" s="2" t="n">
        <v>1175236</v>
      </c>
      <c r="B185" s="2" t="s">
        <v>745</v>
      </c>
      <c r="C185" s="2" t="s">
        <v>746</v>
      </c>
      <c r="D185" s="2" t="s">
        <v>58</v>
      </c>
      <c r="E185" s="2" t="s">
        <v>59</v>
      </c>
      <c r="F185" s="2" t="s">
        <v>60</v>
      </c>
      <c r="G185" s="2" t="s">
        <v>61</v>
      </c>
      <c r="H185" s="2" t="s">
        <v>61</v>
      </c>
      <c r="I185" s="2" t="n">
        <v>77</v>
      </c>
      <c r="J185" s="2" t="n">
        <v>28</v>
      </c>
      <c r="K185" s="2" t="s">
        <v>747</v>
      </c>
      <c r="L185" s="2" t="s">
        <v>67</v>
      </c>
      <c r="M185" s="2" t="n">
        <v>198</v>
      </c>
      <c r="N185" s="3" t="n">
        <v>50000</v>
      </c>
      <c r="O185" s="2"/>
      <c r="P185" s="2" t="n">
        <v>24</v>
      </c>
      <c r="Q185" s="3" t="n">
        <v>2160</v>
      </c>
      <c r="R185" s="2" t="n">
        <v>7.35</v>
      </c>
      <c r="S185" s="2" t="n">
        <v>5</v>
      </c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 t="n">
        <v>13.7</v>
      </c>
      <c r="AG185" s="2" t="n">
        <v>67.1</v>
      </c>
      <c r="AH185" s="2"/>
      <c r="AI185" s="2"/>
      <c r="AJ185" s="2" t="n">
        <v>0</v>
      </c>
      <c r="AK185" s="2" t="n">
        <v>100</v>
      </c>
      <c r="AL185" s="2"/>
      <c r="AM185" s="2"/>
      <c r="AN185" s="2" t="n">
        <v>0.4</v>
      </c>
      <c r="AO185" s="2"/>
      <c r="AP185" s="2"/>
      <c r="AQ185" s="2" t="n">
        <v>0.4</v>
      </c>
      <c r="AR185" s="2"/>
      <c r="AS185" s="2" t="n">
        <v>9.5</v>
      </c>
      <c r="AT185" s="2"/>
      <c r="AU185" s="2"/>
      <c r="AV185" s="2"/>
      <c r="AW185" s="2" t="n">
        <v>2</v>
      </c>
      <c r="AX185" s="2"/>
      <c r="AY185" s="2"/>
      <c r="AZ185" s="2" t="n">
        <v>9</v>
      </c>
      <c r="BA185" s="2" t="n">
        <v>3.7</v>
      </c>
      <c r="BB185" s="2" t="n">
        <v>78.6</v>
      </c>
      <c r="BC185" s="2" t="n">
        <v>1</v>
      </c>
      <c r="BD185" s="4" t="s">
        <v>748</v>
      </c>
    </row>
    <row r="186" customFormat="false" ht="15" hidden="false" customHeight="false" outlineLevel="0" collapsed="false">
      <c r="A186" s="2" t="n">
        <v>1918809</v>
      </c>
      <c r="B186" s="2" t="s">
        <v>749</v>
      </c>
      <c r="C186" s="2" t="s">
        <v>746</v>
      </c>
      <c r="D186" s="2" t="s">
        <v>58</v>
      </c>
      <c r="E186" s="2" t="s">
        <v>59</v>
      </c>
      <c r="F186" s="2" t="s">
        <v>60</v>
      </c>
      <c r="G186" s="2" t="s">
        <v>61</v>
      </c>
      <c r="H186" s="2" t="s">
        <v>61</v>
      </c>
      <c r="I186" s="2" t="n">
        <v>1</v>
      </c>
      <c r="J186" s="2" t="n">
        <v>24</v>
      </c>
      <c r="K186" s="2" t="s">
        <v>750</v>
      </c>
      <c r="L186" s="2" t="s">
        <v>178</v>
      </c>
      <c r="M186" s="2" t="n">
        <v>196</v>
      </c>
      <c r="N186" s="3"/>
      <c r="O186" s="2"/>
      <c r="P186" s="2" t="n">
        <v>2</v>
      </c>
      <c r="Q186" s="3" t="n">
        <v>180</v>
      </c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4" t="s">
        <v>751</v>
      </c>
    </row>
    <row r="187" customFormat="false" ht="15" hidden="false" customHeight="false" outlineLevel="0" collapsed="false">
      <c r="A187" s="2" t="n">
        <v>888046</v>
      </c>
      <c r="B187" s="2" t="s">
        <v>752</v>
      </c>
      <c r="C187" s="2" t="s">
        <v>746</v>
      </c>
      <c r="D187" s="2" t="s">
        <v>58</v>
      </c>
      <c r="E187" s="2" t="s">
        <v>59</v>
      </c>
      <c r="F187" s="2" t="s">
        <v>70</v>
      </c>
      <c r="G187" s="2" t="s">
        <v>75</v>
      </c>
      <c r="H187" s="2" t="s">
        <v>75</v>
      </c>
      <c r="I187" s="2" t="n">
        <v>4</v>
      </c>
      <c r="J187" s="2" t="n">
        <v>31</v>
      </c>
      <c r="K187" s="2" t="s">
        <v>753</v>
      </c>
      <c r="L187" s="2" t="s">
        <v>85</v>
      </c>
      <c r="M187" s="2" t="n">
        <v>183</v>
      </c>
      <c r="N187" s="3" t="n">
        <v>50000</v>
      </c>
      <c r="O187" s="2"/>
      <c r="P187" s="2" t="n">
        <v>25</v>
      </c>
      <c r="Q187" s="3" t="n">
        <v>2160</v>
      </c>
      <c r="R187" s="2" t="n">
        <v>6.96</v>
      </c>
      <c r="S187" s="2" t="n">
        <v>0</v>
      </c>
      <c r="T187" s="2" t="n">
        <v>3</v>
      </c>
      <c r="U187" s="2" t="n">
        <v>0</v>
      </c>
      <c r="V187" s="2"/>
      <c r="W187" s="2"/>
      <c r="X187" s="2" t="n">
        <v>0.13</v>
      </c>
      <c r="Y187" s="2" t="n">
        <v>0.7</v>
      </c>
      <c r="Z187" s="2" t="n">
        <v>0.3</v>
      </c>
      <c r="AA187" s="2" t="n">
        <v>17.7</v>
      </c>
      <c r="AB187" s="2" t="n">
        <v>5</v>
      </c>
      <c r="AC187" s="2" t="n">
        <v>6</v>
      </c>
      <c r="AD187" s="2" t="n">
        <v>0.3</v>
      </c>
      <c r="AE187" s="2" t="n">
        <v>1</v>
      </c>
      <c r="AF187" s="2" t="n">
        <v>28</v>
      </c>
      <c r="AG187" s="2" t="n">
        <v>81.8</v>
      </c>
      <c r="AH187" s="2" t="n">
        <v>3.3</v>
      </c>
      <c r="AI187" s="2" t="n">
        <v>40.3</v>
      </c>
      <c r="AJ187" s="2"/>
      <c r="AK187" s="2"/>
      <c r="AL187" s="2"/>
      <c r="AM187" s="2"/>
      <c r="AN187" s="2" t="n">
        <v>8.5</v>
      </c>
      <c r="AO187" s="2" t="n">
        <v>0.9</v>
      </c>
      <c r="AP187" s="2" t="n">
        <v>0.7</v>
      </c>
      <c r="AQ187" s="2" t="n">
        <v>5.9</v>
      </c>
      <c r="AR187" s="2" t="n">
        <v>1</v>
      </c>
      <c r="AS187" s="2" t="n">
        <v>2.5</v>
      </c>
      <c r="AT187" s="2"/>
      <c r="AU187" s="2"/>
      <c r="AV187" s="2" t="n">
        <v>1</v>
      </c>
      <c r="AW187" s="2" t="n">
        <v>6</v>
      </c>
      <c r="AX187" s="2"/>
      <c r="AY187" s="2"/>
      <c r="AZ187" s="2"/>
      <c r="BA187" s="2"/>
      <c r="BB187" s="2"/>
      <c r="BC187" s="2"/>
      <c r="BD187" s="4" t="s">
        <v>754</v>
      </c>
    </row>
    <row r="188" customFormat="false" ht="15" hidden="false" customHeight="false" outlineLevel="0" collapsed="false">
      <c r="A188" s="2" t="n">
        <v>1398374</v>
      </c>
      <c r="B188" s="2" t="s">
        <v>755</v>
      </c>
      <c r="C188" s="2" t="s">
        <v>746</v>
      </c>
      <c r="D188" s="2" t="s">
        <v>58</v>
      </c>
      <c r="E188" s="2" t="s">
        <v>59</v>
      </c>
      <c r="F188" s="2" t="s">
        <v>70</v>
      </c>
      <c r="G188" s="2" t="s">
        <v>75</v>
      </c>
      <c r="H188" s="2" t="s">
        <v>756</v>
      </c>
      <c r="I188" s="2" t="n">
        <v>25</v>
      </c>
      <c r="J188" s="2" t="n">
        <v>22</v>
      </c>
      <c r="K188" s="2" t="s">
        <v>757</v>
      </c>
      <c r="L188" s="2" t="s">
        <v>67</v>
      </c>
      <c r="M188" s="2" t="n">
        <v>193</v>
      </c>
      <c r="N188" s="3" t="n">
        <v>391310</v>
      </c>
      <c r="O188" s="2"/>
      <c r="P188" s="2" t="n">
        <v>24</v>
      </c>
      <c r="Q188" s="3" t="n">
        <v>1998</v>
      </c>
      <c r="R188" s="2" t="n">
        <v>6.84</v>
      </c>
      <c r="S188" s="2" t="n">
        <v>0</v>
      </c>
      <c r="T188" s="2"/>
      <c r="U188" s="2"/>
      <c r="V188" s="2"/>
      <c r="W188" s="2"/>
      <c r="X188" s="2"/>
      <c r="Y188" s="2" t="n">
        <v>0.4</v>
      </c>
      <c r="Z188" s="2" t="n">
        <v>0.1</v>
      </c>
      <c r="AA188" s="2" t="n">
        <v>0</v>
      </c>
      <c r="AB188" s="2" t="n">
        <v>1</v>
      </c>
      <c r="AC188" s="2" t="n">
        <v>8</v>
      </c>
      <c r="AD188" s="2" t="n">
        <v>0.4</v>
      </c>
      <c r="AE188" s="2"/>
      <c r="AF188" s="2" t="n">
        <v>30.8</v>
      </c>
      <c r="AG188" s="2" t="n">
        <v>76.8</v>
      </c>
      <c r="AH188" s="2" t="n">
        <v>3.2</v>
      </c>
      <c r="AI188" s="2" t="n">
        <v>39.2</v>
      </c>
      <c r="AJ188" s="2" t="n">
        <v>0.2</v>
      </c>
      <c r="AK188" s="2" t="n">
        <v>80</v>
      </c>
      <c r="AL188" s="2"/>
      <c r="AM188" s="2"/>
      <c r="AN188" s="2" t="n">
        <v>8.9</v>
      </c>
      <c r="AO188" s="2" t="n">
        <v>1</v>
      </c>
      <c r="AP188" s="2" t="n">
        <v>1</v>
      </c>
      <c r="AQ188" s="2" t="n">
        <v>5.9</v>
      </c>
      <c r="AR188" s="2" t="n">
        <v>0.9</v>
      </c>
      <c r="AS188" s="2" t="n">
        <v>2.8</v>
      </c>
      <c r="AT188" s="2" t="n">
        <v>0.1</v>
      </c>
      <c r="AU188" s="2" t="n">
        <v>1.2</v>
      </c>
      <c r="AV188" s="2" t="n">
        <v>0.6</v>
      </c>
      <c r="AW188" s="2" t="n">
        <v>2</v>
      </c>
      <c r="AX188" s="2" t="n">
        <v>1</v>
      </c>
      <c r="AY188" s="2" t="n">
        <v>2</v>
      </c>
      <c r="AZ188" s="2"/>
      <c r="BA188" s="2"/>
      <c r="BB188" s="2"/>
      <c r="BC188" s="2"/>
      <c r="BD188" s="4" t="s">
        <v>758</v>
      </c>
    </row>
    <row r="189" customFormat="false" ht="15" hidden="false" customHeight="false" outlineLevel="0" collapsed="false">
      <c r="A189" s="2" t="n">
        <v>502403</v>
      </c>
      <c r="B189" s="2" t="s">
        <v>759</v>
      </c>
      <c r="C189" s="2" t="s">
        <v>746</v>
      </c>
      <c r="D189" s="2" t="s">
        <v>58</v>
      </c>
      <c r="E189" s="2" t="s">
        <v>59</v>
      </c>
      <c r="F189" s="2" t="s">
        <v>70</v>
      </c>
      <c r="G189" s="2" t="s">
        <v>75</v>
      </c>
      <c r="H189" s="2" t="s">
        <v>352</v>
      </c>
      <c r="I189" s="2" t="n">
        <v>15</v>
      </c>
      <c r="J189" s="2" t="n">
        <v>32</v>
      </c>
      <c r="K189" s="2" t="s">
        <v>760</v>
      </c>
      <c r="L189" s="2" t="s">
        <v>761</v>
      </c>
      <c r="M189" s="2" t="n">
        <v>193</v>
      </c>
      <c r="N189" s="3" t="n">
        <v>50000</v>
      </c>
      <c r="O189" s="2"/>
      <c r="P189" s="2" t="n">
        <v>22</v>
      </c>
      <c r="Q189" s="3" t="n">
        <v>1741</v>
      </c>
      <c r="R189" s="2" t="n">
        <v>7.4</v>
      </c>
      <c r="S189" s="2" t="n">
        <v>1</v>
      </c>
      <c r="T189" s="2" t="n">
        <v>1</v>
      </c>
      <c r="U189" s="2" t="n">
        <v>0</v>
      </c>
      <c r="V189" s="2" t="n">
        <v>1</v>
      </c>
      <c r="W189" s="2"/>
      <c r="X189" s="2" t="n">
        <v>0.05</v>
      </c>
      <c r="Y189" s="2" t="n">
        <v>0.6</v>
      </c>
      <c r="Z189" s="2" t="n">
        <v>0.1</v>
      </c>
      <c r="AA189" s="2" t="n">
        <v>8.3</v>
      </c>
      <c r="AB189" s="2"/>
      <c r="AC189" s="2" t="n">
        <v>14</v>
      </c>
      <c r="AD189" s="2" t="n">
        <v>0.7</v>
      </c>
      <c r="AE189" s="2" t="n">
        <v>3</v>
      </c>
      <c r="AF189" s="2" t="n">
        <v>36.8</v>
      </c>
      <c r="AG189" s="2" t="n">
        <v>71.6</v>
      </c>
      <c r="AH189" s="2" t="n">
        <v>7.5</v>
      </c>
      <c r="AI189" s="2" t="n">
        <v>42.5</v>
      </c>
      <c r="AJ189" s="2" t="n">
        <v>0.7</v>
      </c>
      <c r="AK189" s="2" t="n">
        <v>100</v>
      </c>
      <c r="AL189" s="2"/>
      <c r="AM189" s="2"/>
      <c r="AN189" s="2" t="n">
        <v>10.9</v>
      </c>
      <c r="AO189" s="2" t="n">
        <v>1.7</v>
      </c>
      <c r="AP189" s="2" t="n">
        <v>1.9</v>
      </c>
      <c r="AQ189" s="2" t="n">
        <v>6.9</v>
      </c>
      <c r="AR189" s="2" t="n">
        <v>0.5</v>
      </c>
      <c r="AS189" s="2" t="n">
        <v>4.6</v>
      </c>
      <c r="AT189" s="2" t="n">
        <v>0.1</v>
      </c>
      <c r="AU189" s="2" t="n">
        <v>2</v>
      </c>
      <c r="AV189" s="2" t="n">
        <v>2</v>
      </c>
      <c r="AW189" s="2" t="n">
        <v>8</v>
      </c>
      <c r="AX189" s="2"/>
      <c r="AY189" s="2"/>
      <c r="AZ189" s="2"/>
      <c r="BA189" s="2"/>
      <c r="BB189" s="2"/>
      <c r="BC189" s="2"/>
      <c r="BD189" s="4" t="s">
        <v>762</v>
      </c>
    </row>
    <row r="190" customFormat="false" ht="15" hidden="false" customHeight="false" outlineLevel="0" collapsed="false">
      <c r="A190" s="2" t="n">
        <v>1341110</v>
      </c>
      <c r="B190" s="2" t="s">
        <v>763</v>
      </c>
      <c r="C190" s="2" t="s">
        <v>746</v>
      </c>
      <c r="D190" s="2" t="s">
        <v>58</v>
      </c>
      <c r="E190" s="2" t="s">
        <v>59</v>
      </c>
      <c r="F190" s="2" t="s">
        <v>70</v>
      </c>
      <c r="G190" s="2" t="s">
        <v>75</v>
      </c>
      <c r="H190" s="2" t="s">
        <v>75</v>
      </c>
      <c r="I190" s="2" t="n">
        <v>23</v>
      </c>
      <c r="J190" s="2" t="n">
        <v>29</v>
      </c>
      <c r="K190" s="2" t="s">
        <v>764</v>
      </c>
      <c r="L190" s="2" t="s">
        <v>319</v>
      </c>
      <c r="M190" s="2" t="n">
        <v>191</v>
      </c>
      <c r="N190" s="3" t="n">
        <v>90264</v>
      </c>
      <c r="O190" s="2"/>
      <c r="P190" s="2" t="n">
        <v>16</v>
      </c>
      <c r="Q190" s="3" t="n">
        <v>1090</v>
      </c>
      <c r="R190" s="2" t="n">
        <v>6.63</v>
      </c>
      <c r="S190" s="2" t="n">
        <v>0</v>
      </c>
      <c r="T190" s="2"/>
      <c r="U190" s="2"/>
      <c r="V190" s="2" t="n">
        <v>1</v>
      </c>
      <c r="W190" s="2"/>
      <c r="X190" s="2"/>
      <c r="Y190" s="2" t="n">
        <v>0.5</v>
      </c>
      <c r="Z190" s="2" t="n">
        <v>0.2</v>
      </c>
      <c r="AA190" s="2" t="n">
        <v>0</v>
      </c>
      <c r="AB190" s="2" t="n">
        <v>1</v>
      </c>
      <c r="AC190" s="2" t="n">
        <v>4</v>
      </c>
      <c r="AD190" s="2" t="n">
        <v>0.3</v>
      </c>
      <c r="AE190" s="2"/>
      <c r="AF190" s="2" t="n">
        <v>45.2</v>
      </c>
      <c r="AG190" s="2" t="n">
        <v>86.4</v>
      </c>
      <c r="AH190" s="2" t="n">
        <v>2.8</v>
      </c>
      <c r="AI190" s="2" t="n">
        <v>38.6</v>
      </c>
      <c r="AJ190" s="2"/>
      <c r="AK190" s="2"/>
      <c r="AL190" s="2"/>
      <c r="AM190" s="2"/>
      <c r="AN190" s="2" t="n">
        <v>7.6</v>
      </c>
      <c r="AO190" s="2" t="n">
        <v>0.7</v>
      </c>
      <c r="AP190" s="2" t="n">
        <v>1.2</v>
      </c>
      <c r="AQ190" s="2" t="n">
        <v>4.5</v>
      </c>
      <c r="AR190" s="2" t="n">
        <v>1.2</v>
      </c>
      <c r="AS190" s="2" t="n">
        <v>3.3</v>
      </c>
      <c r="AT190" s="2"/>
      <c r="AU190" s="2"/>
      <c r="AV190" s="2" t="n">
        <v>1.2</v>
      </c>
      <c r="AW190" s="2" t="n">
        <v>3</v>
      </c>
      <c r="AX190" s="2"/>
      <c r="AY190" s="2" t="n">
        <v>2</v>
      </c>
      <c r="AZ190" s="2"/>
      <c r="BA190" s="2"/>
      <c r="BB190" s="2"/>
      <c r="BC190" s="2"/>
      <c r="BD190" s="4" t="s">
        <v>765</v>
      </c>
    </row>
    <row r="191" customFormat="false" ht="15" hidden="false" customHeight="false" outlineLevel="0" collapsed="false">
      <c r="A191" s="2" t="n">
        <v>1724681</v>
      </c>
      <c r="B191" s="2" t="s">
        <v>766</v>
      </c>
      <c r="C191" s="2" t="s">
        <v>746</v>
      </c>
      <c r="D191" s="2" t="s">
        <v>58</v>
      </c>
      <c r="E191" s="2" t="s">
        <v>59</v>
      </c>
      <c r="F191" s="2" t="s">
        <v>70</v>
      </c>
      <c r="G191" s="2" t="s">
        <v>75</v>
      </c>
      <c r="H191" s="2" t="s">
        <v>767</v>
      </c>
      <c r="I191" s="2" t="n">
        <v>22</v>
      </c>
      <c r="J191" s="2" t="n">
        <v>23</v>
      </c>
      <c r="K191" s="2" t="s">
        <v>768</v>
      </c>
      <c r="L191" s="2" t="s">
        <v>67</v>
      </c>
      <c r="M191" s="2" t="n">
        <v>183</v>
      </c>
      <c r="N191" s="3" t="n">
        <v>82059</v>
      </c>
      <c r="O191" s="2"/>
      <c r="P191" s="2" t="n">
        <v>17</v>
      </c>
      <c r="Q191" s="3" t="n">
        <v>1067</v>
      </c>
      <c r="R191" s="2" t="n">
        <v>6.93</v>
      </c>
      <c r="S191" s="2" t="n">
        <v>0</v>
      </c>
      <c r="T191" s="2"/>
      <c r="U191" s="2"/>
      <c r="V191" s="2"/>
      <c r="W191" s="2"/>
      <c r="X191" s="2"/>
      <c r="Y191" s="2" t="n">
        <v>1.7</v>
      </c>
      <c r="Z191" s="2" t="n">
        <v>0.8</v>
      </c>
      <c r="AA191" s="2" t="n">
        <v>0</v>
      </c>
      <c r="AB191" s="2" t="n">
        <v>4</v>
      </c>
      <c r="AC191" s="2" t="n">
        <v>6</v>
      </c>
      <c r="AD191" s="2" t="n">
        <v>0.5</v>
      </c>
      <c r="AE191" s="2" t="n">
        <v>3</v>
      </c>
      <c r="AF191" s="2" t="n">
        <v>21.9</v>
      </c>
      <c r="AG191" s="2" t="n">
        <v>70.3</v>
      </c>
      <c r="AH191" s="2" t="n">
        <v>3</v>
      </c>
      <c r="AI191" s="2" t="n">
        <v>37.6</v>
      </c>
      <c r="AJ191" s="2" t="n">
        <v>0.6</v>
      </c>
      <c r="AK191" s="2" t="n">
        <v>70</v>
      </c>
      <c r="AL191" s="2"/>
      <c r="AM191" s="2"/>
      <c r="AN191" s="2" t="n">
        <v>7.5</v>
      </c>
      <c r="AO191" s="2" t="n">
        <v>1.6</v>
      </c>
      <c r="AP191" s="2" t="n">
        <v>1.1</v>
      </c>
      <c r="AQ191" s="2" t="n">
        <v>4.2</v>
      </c>
      <c r="AR191" s="2" t="n">
        <v>0.6</v>
      </c>
      <c r="AS191" s="2" t="n">
        <v>2.3</v>
      </c>
      <c r="AT191" s="2" t="n">
        <v>0.1</v>
      </c>
      <c r="AU191" s="2" t="n">
        <v>0.8</v>
      </c>
      <c r="AV191" s="2" t="n">
        <v>0.4</v>
      </c>
      <c r="AW191" s="2" t="n">
        <v>1</v>
      </c>
      <c r="AX191" s="2"/>
      <c r="AY191" s="2"/>
      <c r="AZ191" s="2"/>
      <c r="BA191" s="2"/>
      <c r="BB191" s="2"/>
      <c r="BC191" s="2"/>
      <c r="BD191" s="4" t="s">
        <v>769</v>
      </c>
    </row>
    <row r="192" customFormat="false" ht="15" hidden="false" customHeight="false" outlineLevel="0" collapsed="false">
      <c r="A192" s="2" t="n">
        <v>889478</v>
      </c>
      <c r="B192" s="2" t="s">
        <v>770</v>
      </c>
      <c r="C192" s="2" t="s">
        <v>746</v>
      </c>
      <c r="D192" s="2" t="s">
        <v>58</v>
      </c>
      <c r="E192" s="2" t="s">
        <v>59</v>
      </c>
      <c r="F192" s="2" t="s">
        <v>70</v>
      </c>
      <c r="G192" s="2" t="s">
        <v>71</v>
      </c>
      <c r="H192" s="2" t="s">
        <v>771</v>
      </c>
      <c r="I192" s="2" t="n">
        <v>3</v>
      </c>
      <c r="J192" s="2" t="n">
        <v>27</v>
      </c>
      <c r="K192" s="2" t="s">
        <v>734</v>
      </c>
      <c r="L192" s="2" t="s">
        <v>67</v>
      </c>
      <c r="M192" s="2" t="n">
        <v>183</v>
      </c>
      <c r="N192" s="3" t="n">
        <v>51710</v>
      </c>
      <c r="O192" s="2"/>
      <c r="P192" s="2" t="n">
        <v>10</v>
      </c>
      <c r="Q192" s="3" t="n">
        <v>734</v>
      </c>
      <c r="R192" s="2"/>
      <c r="S192" s="2"/>
      <c r="T192" s="2"/>
      <c r="U192" s="2"/>
      <c r="V192" s="2" t="n">
        <v>2</v>
      </c>
      <c r="W192" s="2"/>
      <c r="X192" s="2"/>
      <c r="Y192" s="2"/>
      <c r="Z192" s="2"/>
      <c r="AA192" s="2"/>
      <c r="AB192" s="2"/>
      <c r="AC192" s="2" t="n">
        <v>10</v>
      </c>
      <c r="AD192" s="2" t="n">
        <v>1.2</v>
      </c>
      <c r="AE192" s="2" t="n">
        <v>1</v>
      </c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4" t="s">
        <v>772</v>
      </c>
    </row>
    <row r="193" customFormat="false" ht="15" hidden="false" customHeight="false" outlineLevel="0" collapsed="false">
      <c r="A193" s="2" t="n">
        <v>1346115</v>
      </c>
      <c r="B193" s="2" t="s">
        <v>773</v>
      </c>
      <c r="C193" s="2" t="s">
        <v>746</v>
      </c>
      <c r="D193" s="2" t="s">
        <v>58</v>
      </c>
      <c r="E193" s="2" t="s">
        <v>59</v>
      </c>
      <c r="F193" s="2" t="s">
        <v>102</v>
      </c>
      <c r="G193" s="2" t="s">
        <v>133</v>
      </c>
      <c r="H193" s="2" t="s">
        <v>593</v>
      </c>
      <c r="I193" s="2" t="n">
        <v>8</v>
      </c>
      <c r="J193" s="2" t="n">
        <v>23</v>
      </c>
      <c r="K193" s="2" t="s">
        <v>774</v>
      </c>
      <c r="L193" s="2" t="s">
        <v>775</v>
      </c>
      <c r="M193" s="2" t="n">
        <v>175</v>
      </c>
      <c r="N193" s="3" t="n">
        <v>87212</v>
      </c>
      <c r="O193" s="2"/>
      <c r="P193" s="2" t="n">
        <v>23</v>
      </c>
      <c r="Q193" s="3" t="n">
        <v>1919</v>
      </c>
      <c r="R193" s="2" t="n">
        <v>6.84</v>
      </c>
      <c r="S193" s="2" t="n">
        <v>0</v>
      </c>
      <c r="T193" s="2"/>
      <c r="U193" s="2"/>
      <c r="V193" s="2" t="n">
        <v>1</v>
      </c>
      <c r="W193" s="2"/>
      <c r="X193" s="2"/>
      <c r="Y193" s="2" t="n">
        <v>0.4</v>
      </c>
      <c r="Z193" s="2" t="n">
        <v>0</v>
      </c>
      <c r="AA193" s="2" t="n">
        <v>0</v>
      </c>
      <c r="AB193" s="2" t="n">
        <v>1</v>
      </c>
      <c r="AC193" s="2" t="n">
        <v>8</v>
      </c>
      <c r="AD193" s="2" t="n">
        <v>0.4</v>
      </c>
      <c r="AE193" s="2"/>
      <c r="AF193" s="2" t="n">
        <v>22.5</v>
      </c>
      <c r="AG193" s="2" t="n">
        <v>76.3</v>
      </c>
      <c r="AH193" s="2" t="n">
        <v>2.2</v>
      </c>
      <c r="AI193" s="2" t="n">
        <v>48</v>
      </c>
      <c r="AJ193" s="2" t="n">
        <v>0.5</v>
      </c>
      <c r="AK193" s="2" t="n">
        <v>45.5</v>
      </c>
      <c r="AL193" s="2"/>
      <c r="AM193" s="2"/>
      <c r="AN193" s="2" t="n">
        <v>4.4</v>
      </c>
      <c r="AO193" s="2" t="n">
        <v>1.4</v>
      </c>
      <c r="AP193" s="2" t="n">
        <v>1.3</v>
      </c>
      <c r="AQ193" s="2" t="n">
        <v>1.4</v>
      </c>
      <c r="AR193" s="2" t="n">
        <v>0.3</v>
      </c>
      <c r="AS193" s="2" t="n">
        <v>4.4</v>
      </c>
      <c r="AT193" s="2" t="n">
        <v>0.4</v>
      </c>
      <c r="AU193" s="2" t="n">
        <v>2.4</v>
      </c>
      <c r="AV193" s="2" t="n">
        <v>0.8</v>
      </c>
      <c r="AW193" s="2" t="n">
        <v>2</v>
      </c>
      <c r="AX193" s="2" t="n">
        <v>1</v>
      </c>
      <c r="AY193" s="2"/>
      <c r="AZ193" s="2"/>
      <c r="BA193" s="2"/>
      <c r="BB193" s="2"/>
      <c r="BC193" s="2"/>
      <c r="BD193" s="4" t="s">
        <v>776</v>
      </c>
    </row>
    <row r="194" customFormat="false" ht="15" hidden="false" customHeight="false" outlineLevel="0" collapsed="false">
      <c r="A194" s="2" t="n">
        <v>1037271</v>
      </c>
      <c r="B194" s="2" t="s">
        <v>777</v>
      </c>
      <c r="C194" s="2" t="s">
        <v>746</v>
      </c>
      <c r="D194" s="2" t="s">
        <v>58</v>
      </c>
      <c r="E194" s="2" t="s">
        <v>59</v>
      </c>
      <c r="F194" s="2" t="s">
        <v>102</v>
      </c>
      <c r="G194" s="2" t="s">
        <v>113</v>
      </c>
      <c r="H194" s="2" t="s">
        <v>778</v>
      </c>
      <c r="I194" s="2" t="n">
        <v>2</v>
      </c>
      <c r="J194" s="2" t="n">
        <v>24</v>
      </c>
      <c r="K194" s="2" t="s">
        <v>779</v>
      </c>
      <c r="L194" s="2" t="s">
        <v>67</v>
      </c>
      <c r="M194" s="2" t="n">
        <v>175</v>
      </c>
      <c r="N194" s="3" t="n">
        <v>107986</v>
      </c>
      <c r="O194" s="2"/>
      <c r="P194" s="2" t="n">
        <v>20</v>
      </c>
      <c r="Q194" s="3" t="n">
        <v>1594</v>
      </c>
      <c r="R194" s="2" t="n">
        <v>7.36</v>
      </c>
      <c r="S194" s="2" t="n">
        <v>3</v>
      </c>
      <c r="T194" s="2" t="n">
        <v>1</v>
      </c>
      <c r="U194" s="2" t="n">
        <v>0</v>
      </c>
      <c r="V194" s="2" t="n">
        <v>6</v>
      </c>
      <c r="W194" s="2"/>
      <c r="X194" s="2" t="n">
        <v>0.06</v>
      </c>
      <c r="Y194" s="2" t="n">
        <v>0.9</v>
      </c>
      <c r="Z194" s="2" t="n">
        <v>0.2</v>
      </c>
      <c r="AA194" s="2" t="n">
        <v>6.3</v>
      </c>
      <c r="AB194" s="2"/>
      <c r="AC194" s="2" t="n">
        <v>42</v>
      </c>
      <c r="AD194" s="2" t="n">
        <v>2.4</v>
      </c>
      <c r="AE194" s="2" t="n">
        <v>14</v>
      </c>
      <c r="AF194" s="2" t="n">
        <v>29.6</v>
      </c>
      <c r="AG194" s="2" t="n">
        <v>78.3</v>
      </c>
      <c r="AH194" s="2" t="n">
        <v>1.9</v>
      </c>
      <c r="AI194" s="2" t="n">
        <v>39.1</v>
      </c>
      <c r="AJ194" s="2" t="n">
        <v>0.4</v>
      </c>
      <c r="AK194" s="2" t="n">
        <v>53.8</v>
      </c>
      <c r="AL194" s="2"/>
      <c r="AM194" s="2"/>
      <c r="AN194" s="2" t="n">
        <v>5.1</v>
      </c>
      <c r="AO194" s="2" t="n">
        <v>1.9</v>
      </c>
      <c r="AP194" s="2" t="n">
        <v>1.3</v>
      </c>
      <c r="AQ194" s="2" t="n">
        <v>1.5</v>
      </c>
      <c r="AR194" s="2" t="n">
        <v>0.4</v>
      </c>
      <c r="AS194" s="2" t="n">
        <v>3.3</v>
      </c>
      <c r="AT194" s="2" t="n">
        <v>0.5</v>
      </c>
      <c r="AU194" s="2" t="n">
        <v>1.2</v>
      </c>
      <c r="AV194" s="2" t="n">
        <v>1.3</v>
      </c>
      <c r="AW194" s="2" t="n">
        <v>3</v>
      </c>
      <c r="AX194" s="2"/>
      <c r="AY194" s="2"/>
      <c r="AZ194" s="2"/>
      <c r="BA194" s="2"/>
      <c r="BB194" s="2"/>
      <c r="BC194" s="2"/>
      <c r="BD194" s="4" t="s">
        <v>780</v>
      </c>
    </row>
    <row r="195" customFormat="false" ht="15" hidden="false" customHeight="false" outlineLevel="0" collapsed="false">
      <c r="A195" s="2" t="n">
        <v>1072821</v>
      </c>
      <c r="B195" s="2" t="s">
        <v>781</v>
      </c>
      <c r="C195" s="2" t="s">
        <v>746</v>
      </c>
      <c r="D195" s="2" t="s">
        <v>58</v>
      </c>
      <c r="E195" s="2" t="s">
        <v>59</v>
      </c>
      <c r="F195" s="2" t="s">
        <v>102</v>
      </c>
      <c r="G195" s="2" t="s">
        <v>113</v>
      </c>
      <c r="H195" s="2" t="s">
        <v>782</v>
      </c>
      <c r="I195" s="2" t="n">
        <v>16</v>
      </c>
      <c r="J195" s="2" t="n">
        <v>25</v>
      </c>
      <c r="K195" s="2" t="s">
        <v>783</v>
      </c>
      <c r="L195" s="2" t="s">
        <v>784</v>
      </c>
      <c r="M195" s="2" t="n">
        <v>180</v>
      </c>
      <c r="N195" s="3" t="n">
        <v>101998</v>
      </c>
      <c r="O195" s="2"/>
      <c r="P195" s="2" t="n">
        <v>22</v>
      </c>
      <c r="Q195" s="3" t="n">
        <v>1480</v>
      </c>
      <c r="R195" s="2" t="n">
        <v>7.03</v>
      </c>
      <c r="S195" s="2" t="n">
        <v>3</v>
      </c>
      <c r="T195" s="2" t="n">
        <v>6</v>
      </c>
      <c r="U195" s="2" t="n">
        <v>0</v>
      </c>
      <c r="V195" s="2" t="n">
        <v>1</v>
      </c>
      <c r="W195" s="2"/>
      <c r="X195" s="2" t="n">
        <v>0.36</v>
      </c>
      <c r="Y195" s="2" t="n">
        <v>2.7</v>
      </c>
      <c r="Z195" s="2" t="n">
        <v>1.1</v>
      </c>
      <c r="AA195" s="2" t="n">
        <v>13.6</v>
      </c>
      <c r="AB195" s="2" t="n">
        <v>10</v>
      </c>
      <c r="AC195" s="2" t="n">
        <v>21</v>
      </c>
      <c r="AD195" s="2" t="n">
        <v>1.3</v>
      </c>
      <c r="AE195" s="2" t="n">
        <v>4</v>
      </c>
      <c r="AF195" s="2" t="n">
        <v>12</v>
      </c>
      <c r="AG195" s="2" t="n">
        <v>64</v>
      </c>
      <c r="AH195" s="2" t="n">
        <v>1.2</v>
      </c>
      <c r="AI195" s="2" t="n">
        <v>33.9</v>
      </c>
      <c r="AJ195" s="2" t="n">
        <v>0.2</v>
      </c>
      <c r="AK195" s="2" t="n">
        <v>25</v>
      </c>
      <c r="AL195" s="2" t="n">
        <v>1</v>
      </c>
      <c r="AM195" s="2" t="n">
        <v>1.3</v>
      </c>
      <c r="AN195" s="2" t="n">
        <v>2.8</v>
      </c>
      <c r="AO195" s="2" t="n">
        <v>0.8</v>
      </c>
      <c r="AP195" s="2" t="n">
        <v>0.6</v>
      </c>
      <c r="AQ195" s="2" t="n">
        <v>1</v>
      </c>
      <c r="AR195" s="2" t="n">
        <v>0.4</v>
      </c>
      <c r="AS195" s="2" t="n">
        <v>3.2</v>
      </c>
      <c r="AT195" s="2" t="n">
        <v>0.4</v>
      </c>
      <c r="AU195" s="2" t="n">
        <v>1.9</v>
      </c>
      <c r="AV195" s="2" t="n">
        <v>1.2</v>
      </c>
      <c r="AW195" s="2" t="n">
        <v>3</v>
      </c>
      <c r="AX195" s="2"/>
      <c r="AY195" s="2"/>
      <c r="AZ195" s="2"/>
      <c r="BA195" s="2"/>
      <c r="BB195" s="2"/>
      <c r="BC195" s="2"/>
      <c r="BD195" s="4" t="s">
        <v>785</v>
      </c>
    </row>
    <row r="196" customFormat="false" ht="15" hidden="false" customHeight="false" outlineLevel="0" collapsed="false">
      <c r="A196" s="2" t="n">
        <v>1141408</v>
      </c>
      <c r="B196" s="2" t="s">
        <v>786</v>
      </c>
      <c r="C196" s="2" t="s">
        <v>746</v>
      </c>
      <c r="D196" s="2" t="s">
        <v>58</v>
      </c>
      <c r="E196" s="2" t="s">
        <v>59</v>
      </c>
      <c r="F196" s="2" t="s">
        <v>102</v>
      </c>
      <c r="G196" s="2" t="s">
        <v>103</v>
      </c>
      <c r="H196" s="2" t="s">
        <v>123</v>
      </c>
      <c r="I196" s="2" t="n">
        <v>6</v>
      </c>
      <c r="J196" s="2" t="n">
        <v>26</v>
      </c>
      <c r="K196" s="2" t="s">
        <v>787</v>
      </c>
      <c r="L196" s="2" t="s">
        <v>788</v>
      </c>
      <c r="M196" s="2" t="n">
        <v>180</v>
      </c>
      <c r="N196" s="3" t="n">
        <v>63411</v>
      </c>
      <c r="O196" s="2"/>
      <c r="P196" s="2" t="n">
        <v>18</v>
      </c>
      <c r="Q196" s="3" t="n">
        <v>1448</v>
      </c>
      <c r="R196" s="2" t="n">
        <v>6.58</v>
      </c>
      <c r="S196" s="2" t="n">
        <v>0</v>
      </c>
      <c r="T196" s="2"/>
      <c r="U196" s="2"/>
      <c r="V196" s="2"/>
      <c r="W196" s="2"/>
      <c r="X196" s="2"/>
      <c r="Y196" s="2" t="n">
        <v>0.2</v>
      </c>
      <c r="Z196" s="2" t="n">
        <v>0.1</v>
      </c>
      <c r="AA196" s="2" t="n">
        <v>0</v>
      </c>
      <c r="AB196" s="2"/>
      <c r="AC196" s="2" t="n">
        <v>5</v>
      </c>
      <c r="AD196" s="2" t="n">
        <v>0.3</v>
      </c>
      <c r="AE196" s="2"/>
      <c r="AF196" s="2" t="n">
        <v>24.9</v>
      </c>
      <c r="AG196" s="2" t="n">
        <v>83.3</v>
      </c>
      <c r="AH196" s="2" t="n">
        <v>1.6</v>
      </c>
      <c r="AI196" s="2" t="n">
        <v>43.1</v>
      </c>
      <c r="AJ196" s="2" t="n">
        <v>0.2</v>
      </c>
      <c r="AK196" s="2" t="n">
        <v>100</v>
      </c>
      <c r="AL196" s="2"/>
      <c r="AM196" s="2"/>
      <c r="AN196" s="2" t="n">
        <v>4.1</v>
      </c>
      <c r="AO196" s="2" t="n">
        <v>1.3</v>
      </c>
      <c r="AP196" s="2" t="n">
        <v>0.9</v>
      </c>
      <c r="AQ196" s="2" t="n">
        <v>1.7</v>
      </c>
      <c r="AR196" s="2" t="n">
        <v>0.2</v>
      </c>
      <c r="AS196" s="2" t="n">
        <v>4</v>
      </c>
      <c r="AT196" s="2" t="n">
        <v>0.1</v>
      </c>
      <c r="AU196" s="2" t="n">
        <v>2.7</v>
      </c>
      <c r="AV196" s="2" t="n">
        <v>1.9</v>
      </c>
      <c r="AW196" s="2" t="n">
        <v>7</v>
      </c>
      <c r="AX196" s="2" t="n">
        <v>1</v>
      </c>
      <c r="AY196" s="2"/>
      <c r="AZ196" s="2"/>
      <c r="BA196" s="2"/>
      <c r="BB196" s="2"/>
      <c r="BC196" s="2"/>
      <c r="BD196" s="4" t="s">
        <v>789</v>
      </c>
    </row>
    <row r="197" customFormat="false" ht="15" hidden="false" customHeight="false" outlineLevel="0" collapsed="false">
      <c r="A197" s="2" t="n">
        <v>1170740</v>
      </c>
      <c r="B197" s="2" t="s">
        <v>790</v>
      </c>
      <c r="C197" s="2" t="s">
        <v>746</v>
      </c>
      <c r="D197" s="2" t="s">
        <v>58</v>
      </c>
      <c r="E197" s="2" t="s">
        <v>59</v>
      </c>
      <c r="F197" s="2" t="s">
        <v>102</v>
      </c>
      <c r="G197" s="2" t="s">
        <v>71</v>
      </c>
      <c r="H197" s="2" t="s">
        <v>791</v>
      </c>
      <c r="I197" s="2" t="n">
        <v>5</v>
      </c>
      <c r="J197" s="2" t="n">
        <v>31</v>
      </c>
      <c r="K197" s="2" t="s">
        <v>792</v>
      </c>
      <c r="L197" s="2" t="s">
        <v>793</v>
      </c>
      <c r="M197" s="2" t="n">
        <v>185</v>
      </c>
      <c r="N197" s="3" t="n">
        <v>50000</v>
      </c>
      <c r="O197" s="2"/>
      <c r="P197" s="2" t="n">
        <v>16</v>
      </c>
      <c r="Q197" s="3" t="n">
        <v>803</v>
      </c>
      <c r="R197" s="2" t="n">
        <v>6.62</v>
      </c>
      <c r="S197" s="2" t="n">
        <v>0</v>
      </c>
      <c r="T197" s="2"/>
      <c r="U197" s="2"/>
      <c r="V197" s="2"/>
      <c r="W197" s="2"/>
      <c r="X197" s="2"/>
      <c r="Y197" s="2" t="n">
        <v>0.8</v>
      </c>
      <c r="Z197" s="2"/>
      <c r="AA197" s="2" t="n">
        <v>0</v>
      </c>
      <c r="AB197" s="2" t="n">
        <v>1</v>
      </c>
      <c r="AC197" s="2" t="n">
        <v>4</v>
      </c>
      <c r="AD197" s="2" t="n">
        <v>0.4</v>
      </c>
      <c r="AE197" s="2"/>
      <c r="AF197" s="2" t="n">
        <v>24.1</v>
      </c>
      <c r="AG197" s="2" t="n">
        <v>72.9</v>
      </c>
      <c r="AH197" s="2" t="n">
        <v>3.7</v>
      </c>
      <c r="AI197" s="2" t="n">
        <v>39.8</v>
      </c>
      <c r="AJ197" s="2" t="n">
        <v>1.2</v>
      </c>
      <c r="AK197" s="2" t="n">
        <v>55</v>
      </c>
      <c r="AL197" s="2"/>
      <c r="AM197" s="2"/>
      <c r="AN197" s="2" t="n">
        <v>6.2</v>
      </c>
      <c r="AO197" s="2" t="n">
        <v>1</v>
      </c>
      <c r="AP197" s="2" t="n">
        <v>1.9</v>
      </c>
      <c r="AQ197" s="2" t="n">
        <v>2.6</v>
      </c>
      <c r="AR197" s="2" t="n">
        <v>0.7</v>
      </c>
      <c r="AS197" s="2" t="n">
        <v>4.5</v>
      </c>
      <c r="AT197" s="2"/>
      <c r="AU197" s="2"/>
      <c r="AV197" s="2" t="n">
        <v>1.6</v>
      </c>
      <c r="AW197" s="2" t="n">
        <v>3</v>
      </c>
      <c r="AX197" s="2"/>
      <c r="AY197" s="2"/>
      <c r="AZ197" s="2"/>
      <c r="BA197" s="2"/>
      <c r="BB197" s="2"/>
      <c r="BC197" s="2"/>
      <c r="BD197" s="4" t="s">
        <v>794</v>
      </c>
    </row>
    <row r="198" customFormat="false" ht="15" hidden="false" customHeight="false" outlineLevel="0" collapsed="false">
      <c r="A198" s="2" t="n">
        <v>848653</v>
      </c>
      <c r="B198" s="2" t="s">
        <v>795</v>
      </c>
      <c r="C198" s="2" t="s">
        <v>746</v>
      </c>
      <c r="D198" s="2" t="s">
        <v>58</v>
      </c>
      <c r="E198" s="2" t="s">
        <v>59</v>
      </c>
      <c r="F198" s="2" t="s">
        <v>102</v>
      </c>
      <c r="G198" s="2" t="s">
        <v>133</v>
      </c>
      <c r="H198" s="2" t="s">
        <v>322</v>
      </c>
      <c r="I198" s="2" t="n">
        <v>21</v>
      </c>
      <c r="J198" s="2" t="n">
        <v>26</v>
      </c>
      <c r="K198" s="2" t="s">
        <v>796</v>
      </c>
      <c r="L198" s="2" t="s">
        <v>67</v>
      </c>
      <c r="M198" s="2" t="n">
        <v>175</v>
      </c>
      <c r="N198" s="3" t="n">
        <v>120117</v>
      </c>
      <c r="O198" s="2"/>
      <c r="P198" s="2" t="n">
        <v>16</v>
      </c>
      <c r="Q198" s="3" t="n">
        <v>532</v>
      </c>
      <c r="R198" s="2" t="n">
        <v>6.67</v>
      </c>
      <c r="S198" s="2" t="n">
        <v>0</v>
      </c>
      <c r="T198" s="2"/>
      <c r="U198" s="2"/>
      <c r="V198" s="2" t="n">
        <v>3</v>
      </c>
      <c r="W198" s="2"/>
      <c r="X198" s="2"/>
      <c r="Y198" s="2" t="n">
        <v>0.7</v>
      </c>
      <c r="Z198" s="2" t="n">
        <v>0.2</v>
      </c>
      <c r="AA198" s="2" t="n">
        <v>0</v>
      </c>
      <c r="AB198" s="2" t="n">
        <v>1</v>
      </c>
      <c r="AC198" s="2" t="n">
        <v>7</v>
      </c>
      <c r="AD198" s="2" t="n">
        <v>1.2</v>
      </c>
      <c r="AE198" s="2" t="n">
        <v>3</v>
      </c>
      <c r="AF198" s="2" t="n">
        <v>15.7</v>
      </c>
      <c r="AG198" s="2" t="n">
        <v>69.9</v>
      </c>
      <c r="AH198" s="2" t="n">
        <v>0.7</v>
      </c>
      <c r="AI198" s="2" t="n">
        <v>26.7</v>
      </c>
      <c r="AJ198" s="2" t="n">
        <v>1.2</v>
      </c>
      <c r="AK198" s="2" t="n">
        <v>58.3</v>
      </c>
      <c r="AL198" s="2" t="n">
        <v>1</v>
      </c>
      <c r="AM198" s="2" t="n">
        <v>4.6</v>
      </c>
      <c r="AN198" s="2" t="n">
        <v>2.9</v>
      </c>
      <c r="AO198" s="2" t="n">
        <v>1.5</v>
      </c>
      <c r="AP198" s="2" t="n">
        <v>0.3</v>
      </c>
      <c r="AQ198" s="2" t="n">
        <v>0.8</v>
      </c>
      <c r="AR198" s="2" t="n">
        <v>0.2</v>
      </c>
      <c r="AS198" s="2" t="n">
        <v>3.7</v>
      </c>
      <c r="AT198" s="2" t="n">
        <v>0.5</v>
      </c>
      <c r="AU198" s="2" t="n">
        <v>1.9</v>
      </c>
      <c r="AV198" s="2" t="n">
        <v>1</v>
      </c>
      <c r="AW198" s="2" t="n">
        <v>2</v>
      </c>
      <c r="AX198" s="2"/>
      <c r="AY198" s="2"/>
      <c r="AZ198" s="2"/>
      <c r="BA198" s="2"/>
      <c r="BB198" s="2"/>
      <c r="BC198" s="2"/>
      <c r="BD198" s="4" t="s">
        <v>797</v>
      </c>
    </row>
    <row r="199" customFormat="false" ht="15" hidden="false" customHeight="false" outlineLevel="0" collapsed="false">
      <c r="A199" s="2" t="n">
        <v>680789</v>
      </c>
      <c r="B199" s="2" t="s">
        <v>798</v>
      </c>
      <c r="C199" s="2" t="s">
        <v>746</v>
      </c>
      <c r="D199" s="2" t="s">
        <v>58</v>
      </c>
      <c r="E199" s="2" t="s">
        <v>59</v>
      </c>
      <c r="F199" s="2" t="s">
        <v>102</v>
      </c>
      <c r="G199" s="2" t="s">
        <v>103</v>
      </c>
      <c r="H199" s="2" t="s">
        <v>103</v>
      </c>
      <c r="I199" s="2" t="n">
        <v>18</v>
      </c>
      <c r="J199" s="2" t="n">
        <v>27</v>
      </c>
      <c r="K199" s="2" t="s">
        <v>799</v>
      </c>
      <c r="L199" s="2" t="s">
        <v>800</v>
      </c>
      <c r="M199" s="2" t="n">
        <v>181</v>
      </c>
      <c r="N199" s="3" t="n">
        <v>82233</v>
      </c>
      <c r="O199" s="2"/>
      <c r="P199" s="2" t="n">
        <v>10</v>
      </c>
      <c r="Q199" s="3" t="n">
        <v>414</v>
      </c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 t="n">
        <v>1</v>
      </c>
      <c r="AD199" s="2" t="n">
        <v>0.2</v>
      </c>
      <c r="AE199" s="2" t="n">
        <v>1</v>
      </c>
      <c r="AF199" s="2"/>
      <c r="AG199" s="2"/>
      <c r="AH199" s="2"/>
      <c r="AI199" s="2"/>
      <c r="AJ199" s="2"/>
      <c r="AK199" s="2"/>
      <c r="AL199" s="2" t="n">
        <v>1</v>
      </c>
      <c r="AM199" s="2" t="n">
        <v>1.7</v>
      </c>
      <c r="AN199" s="2"/>
      <c r="AO199" s="2"/>
      <c r="AP199" s="2"/>
      <c r="AQ199" s="2"/>
      <c r="AR199" s="2"/>
      <c r="AS199" s="2"/>
      <c r="AT199" s="2"/>
      <c r="AU199" s="2"/>
      <c r="AV199" s="2"/>
      <c r="AW199" s="2" t="n">
        <v>1</v>
      </c>
      <c r="AX199" s="2"/>
      <c r="AY199" s="2"/>
      <c r="AZ199" s="2"/>
      <c r="BA199" s="2"/>
      <c r="BB199" s="2"/>
      <c r="BC199" s="2"/>
      <c r="BD199" s="4" t="s">
        <v>801</v>
      </c>
    </row>
    <row r="200" customFormat="false" ht="15" hidden="false" customHeight="false" outlineLevel="0" collapsed="false">
      <c r="A200" s="2" t="n">
        <v>1933135</v>
      </c>
      <c r="B200" s="2" t="s">
        <v>802</v>
      </c>
      <c r="C200" s="2" t="s">
        <v>746</v>
      </c>
      <c r="D200" s="2" t="s">
        <v>58</v>
      </c>
      <c r="E200" s="2" t="s">
        <v>59</v>
      </c>
      <c r="F200" s="2" t="s">
        <v>102</v>
      </c>
      <c r="G200" s="2" t="s">
        <v>113</v>
      </c>
      <c r="H200" s="2" t="s">
        <v>114</v>
      </c>
      <c r="I200" s="2" t="n">
        <v>24</v>
      </c>
      <c r="J200" s="2" t="n">
        <v>25</v>
      </c>
      <c r="K200" s="2" t="s">
        <v>803</v>
      </c>
      <c r="L200" s="2" t="s">
        <v>67</v>
      </c>
      <c r="M200" s="2" t="n">
        <v>183</v>
      </c>
      <c r="N200" s="3"/>
      <c r="O200" s="2"/>
      <c r="P200" s="2" t="n">
        <v>8</v>
      </c>
      <c r="Q200" s="3" t="n">
        <v>413</v>
      </c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 t="n">
        <v>5</v>
      </c>
      <c r="AD200" s="2" t="n">
        <v>1.1</v>
      </c>
      <c r="AE200" s="2" t="n">
        <v>1</v>
      </c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 t="n">
        <v>1</v>
      </c>
      <c r="AX200" s="2"/>
      <c r="AY200" s="2"/>
      <c r="AZ200" s="2"/>
      <c r="BA200" s="2"/>
      <c r="BB200" s="2"/>
      <c r="BC200" s="2"/>
      <c r="BD200" s="4" t="s">
        <v>804</v>
      </c>
    </row>
    <row r="201" customFormat="false" ht="15" hidden="false" customHeight="false" outlineLevel="0" collapsed="false">
      <c r="A201" s="2" t="n">
        <v>1336818</v>
      </c>
      <c r="B201" s="2" t="s">
        <v>805</v>
      </c>
      <c r="C201" s="2" t="s">
        <v>746</v>
      </c>
      <c r="D201" s="2" t="s">
        <v>58</v>
      </c>
      <c r="E201" s="2" t="s">
        <v>59</v>
      </c>
      <c r="F201" s="2" t="s">
        <v>102</v>
      </c>
      <c r="G201" s="2" t="s">
        <v>113</v>
      </c>
      <c r="H201" s="2" t="s">
        <v>806</v>
      </c>
      <c r="I201" s="2" t="n">
        <v>10</v>
      </c>
      <c r="J201" s="2" t="n">
        <v>24</v>
      </c>
      <c r="K201" s="2" t="s">
        <v>807</v>
      </c>
      <c r="L201" s="2" t="s">
        <v>808</v>
      </c>
      <c r="M201" s="2" t="n">
        <v>178</v>
      </c>
      <c r="N201" s="3" t="n">
        <v>80719</v>
      </c>
      <c r="O201" s="2"/>
      <c r="P201" s="2" t="n">
        <v>6</v>
      </c>
      <c r="Q201" s="3" t="n">
        <v>384</v>
      </c>
      <c r="R201" s="2"/>
      <c r="S201" s="2"/>
      <c r="T201" s="2" t="n">
        <v>1</v>
      </c>
      <c r="U201" s="2" t="n">
        <v>0</v>
      </c>
      <c r="V201" s="2" t="n">
        <v>1</v>
      </c>
      <c r="W201" s="2"/>
      <c r="X201" s="2"/>
      <c r="Y201" s="2"/>
      <c r="Z201" s="2"/>
      <c r="AA201" s="2"/>
      <c r="AB201" s="2" t="n">
        <v>1</v>
      </c>
      <c r="AC201" s="2" t="n">
        <v>8</v>
      </c>
      <c r="AD201" s="2" t="n">
        <v>1.9</v>
      </c>
      <c r="AE201" s="2" t="n">
        <v>2</v>
      </c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 t="n">
        <v>1</v>
      </c>
      <c r="AY201" s="2" t="n">
        <v>1</v>
      </c>
      <c r="AZ201" s="2"/>
      <c r="BA201" s="2"/>
      <c r="BB201" s="2"/>
      <c r="BC201" s="2"/>
      <c r="BD201" s="4" t="s">
        <v>809</v>
      </c>
    </row>
    <row r="202" customFormat="false" ht="15" hidden="false" customHeight="false" outlineLevel="0" collapsed="false">
      <c r="A202" s="2" t="n">
        <v>2189244</v>
      </c>
      <c r="B202" s="2" t="s">
        <v>810</v>
      </c>
      <c r="C202" s="2" t="s">
        <v>746</v>
      </c>
      <c r="D202" s="2" t="s">
        <v>58</v>
      </c>
      <c r="E202" s="2" t="s">
        <v>59</v>
      </c>
      <c r="F202" s="2" t="s">
        <v>102</v>
      </c>
      <c r="G202" s="2" t="s">
        <v>103</v>
      </c>
      <c r="H202" s="2" t="s">
        <v>103</v>
      </c>
      <c r="I202" s="2" t="n">
        <v>47</v>
      </c>
      <c r="J202" s="2" t="n">
        <v>18</v>
      </c>
      <c r="K202" s="2" t="s">
        <v>811</v>
      </c>
      <c r="L202" s="2" t="s">
        <v>110</v>
      </c>
      <c r="M202" s="2" t="n">
        <v>175</v>
      </c>
      <c r="N202" s="3"/>
      <c r="O202" s="2"/>
      <c r="P202" s="2" t="n">
        <v>2</v>
      </c>
      <c r="Q202" s="3" t="n">
        <v>180</v>
      </c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4" t="s">
        <v>812</v>
      </c>
    </row>
    <row r="203" customFormat="false" ht="15" hidden="false" customHeight="false" outlineLevel="0" collapsed="false">
      <c r="A203" s="2" t="n">
        <v>2189245</v>
      </c>
      <c r="B203" s="2" t="s">
        <v>813</v>
      </c>
      <c r="C203" s="2" t="s">
        <v>746</v>
      </c>
      <c r="D203" s="2" t="s">
        <v>58</v>
      </c>
      <c r="E203" s="2" t="s">
        <v>59</v>
      </c>
      <c r="F203" s="2" t="s">
        <v>102</v>
      </c>
      <c r="G203" s="2" t="s">
        <v>103</v>
      </c>
      <c r="H203" s="2" t="s">
        <v>103</v>
      </c>
      <c r="I203" s="2" t="n">
        <v>33</v>
      </c>
      <c r="J203" s="2" t="n">
        <v>18</v>
      </c>
      <c r="K203" s="2" t="s">
        <v>814</v>
      </c>
      <c r="L203" s="2" t="s">
        <v>67</v>
      </c>
      <c r="M203" s="2" t="n">
        <v>183</v>
      </c>
      <c r="N203" s="3"/>
      <c r="O203" s="2"/>
      <c r="P203" s="2" t="n">
        <v>1</v>
      </c>
      <c r="Q203" s="3" t="n">
        <v>45</v>
      </c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4" t="s">
        <v>815</v>
      </c>
    </row>
    <row r="204" customFormat="false" ht="15" hidden="false" customHeight="false" outlineLevel="0" collapsed="false">
      <c r="A204" s="2" t="n">
        <v>791668</v>
      </c>
      <c r="B204" s="2" t="s">
        <v>816</v>
      </c>
      <c r="C204" s="2" t="s">
        <v>746</v>
      </c>
      <c r="D204" s="2" t="s">
        <v>58</v>
      </c>
      <c r="E204" s="2" t="s">
        <v>59</v>
      </c>
      <c r="F204" s="2" t="s">
        <v>137</v>
      </c>
      <c r="G204" s="2" t="s">
        <v>147</v>
      </c>
      <c r="H204" s="2" t="s">
        <v>147</v>
      </c>
      <c r="I204" s="2" t="n">
        <v>9</v>
      </c>
      <c r="J204" s="2" t="n">
        <v>29</v>
      </c>
      <c r="K204" s="2" t="s">
        <v>817</v>
      </c>
      <c r="L204" s="2" t="s">
        <v>392</v>
      </c>
      <c r="M204" s="2" t="n">
        <v>188</v>
      </c>
      <c r="N204" s="3" t="n">
        <v>99044</v>
      </c>
      <c r="O204" s="2"/>
      <c r="P204" s="2" t="n">
        <v>24</v>
      </c>
      <c r="Q204" s="3" t="n">
        <v>1640</v>
      </c>
      <c r="R204" s="2" t="n">
        <v>6.63</v>
      </c>
      <c r="S204" s="2" t="n">
        <v>0</v>
      </c>
      <c r="T204" s="2" t="n">
        <v>4</v>
      </c>
      <c r="U204" s="2" t="n">
        <v>2</v>
      </c>
      <c r="V204" s="2"/>
      <c r="W204" s="2"/>
      <c r="X204" s="2" t="n">
        <v>0.22</v>
      </c>
      <c r="Y204" s="2" t="n">
        <v>2.2</v>
      </c>
      <c r="Z204" s="2" t="n">
        <v>0.7</v>
      </c>
      <c r="AA204" s="2" t="n">
        <v>10</v>
      </c>
      <c r="AB204" s="2" t="n">
        <v>6</v>
      </c>
      <c r="AC204" s="2" t="n">
        <v>10</v>
      </c>
      <c r="AD204" s="2" t="n">
        <v>0.5</v>
      </c>
      <c r="AE204" s="2" t="n">
        <v>3</v>
      </c>
      <c r="AF204" s="2" t="n">
        <v>9.2</v>
      </c>
      <c r="AG204" s="2" t="n">
        <v>70.3</v>
      </c>
      <c r="AH204" s="2" t="n">
        <v>0.2</v>
      </c>
      <c r="AI204" s="2" t="n">
        <v>80</v>
      </c>
      <c r="AJ204" s="2" t="n">
        <v>0.9</v>
      </c>
      <c r="AK204" s="2" t="n">
        <v>70.8</v>
      </c>
      <c r="AL204" s="2"/>
      <c r="AM204" s="2"/>
      <c r="AN204" s="2" t="n">
        <v>1.8</v>
      </c>
      <c r="AO204" s="2" t="n">
        <v>0.9</v>
      </c>
      <c r="AP204" s="2" t="n">
        <v>0.3</v>
      </c>
      <c r="AQ204" s="2" t="n">
        <v>0.6</v>
      </c>
      <c r="AR204" s="2" t="n">
        <v>0.1</v>
      </c>
      <c r="AS204" s="2" t="n">
        <v>2.4</v>
      </c>
      <c r="AT204" s="2" t="n">
        <v>0.5</v>
      </c>
      <c r="AU204" s="2" t="n">
        <v>1.3</v>
      </c>
      <c r="AV204" s="2" t="n">
        <v>1.8</v>
      </c>
      <c r="AW204" s="2" t="n">
        <v>1</v>
      </c>
      <c r="AX204" s="2"/>
      <c r="AY204" s="2"/>
      <c r="AZ204" s="2"/>
      <c r="BA204" s="2"/>
      <c r="BB204" s="2"/>
      <c r="BC204" s="2"/>
      <c r="BD204" s="4" t="s">
        <v>818</v>
      </c>
    </row>
    <row r="205" customFormat="false" ht="15" hidden="false" customHeight="false" outlineLevel="0" collapsed="false">
      <c r="A205" s="2" t="n">
        <v>941144</v>
      </c>
      <c r="B205" s="2" t="s">
        <v>819</v>
      </c>
      <c r="C205" s="2" t="s">
        <v>746</v>
      </c>
      <c r="D205" s="2" t="s">
        <v>58</v>
      </c>
      <c r="E205" s="2" t="s">
        <v>59</v>
      </c>
      <c r="F205" s="2" t="s">
        <v>137</v>
      </c>
      <c r="G205" s="2" t="s">
        <v>147</v>
      </c>
      <c r="H205" s="2" t="s">
        <v>820</v>
      </c>
      <c r="I205" s="2" t="n">
        <v>11</v>
      </c>
      <c r="J205" s="2" t="n">
        <v>26</v>
      </c>
      <c r="K205" s="2" t="s">
        <v>821</v>
      </c>
      <c r="L205" s="2" t="s">
        <v>788</v>
      </c>
      <c r="M205" s="2" t="n">
        <v>180</v>
      </c>
      <c r="N205" s="3" t="n">
        <v>84931</v>
      </c>
      <c r="O205" s="2"/>
      <c r="P205" s="2" t="n">
        <v>19</v>
      </c>
      <c r="Q205" s="3" t="n">
        <v>1376</v>
      </c>
      <c r="R205" s="2" t="n">
        <v>7.07</v>
      </c>
      <c r="S205" s="2" t="n">
        <v>1</v>
      </c>
      <c r="T205" s="2" t="n">
        <v>5</v>
      </c>
      <c r="U205" s="2" t="n">
        <v>4</v>
      </c>
      <c r="V205" s="2" t="n">
        <v>4</v>
      </c>
      <c r="W205" s="2"/>
      <c r="X205" s="2" t="n">
        <v>0.33</v>
      </c>
      <c r="Y205" s="2" t="n">
        <v>2.8</v>
      </c>
      <c r="Z205" s="2" t="n">
        <v>1.4</v>
      </c>
      <c r="AA205" s="2" t="n">
        <v>11.6</v>
      </c>
      <c r="AB205" s="2" t="n">
        <v>10</v>
      </c>
      <c r="AC205" s="2" t="n">
        <v>17</v>
      </c>
      <c r="AD205" s="2" t="n">
        <v>1.1</v>
      </c>
      <c r="AE205" s="2" t="n">
        <v>6</v>
      </c>
      <c r="AF205" s="2" t="n">
        <v>11.4</v>
      </c>
      <c r="AG205" s="2" t="n">
        <v>74.8</v>
      </c>
      <c r="AH205" s="2"/>
      <c r="AI205" s="2"/>
      <c r="AJ205" s="2" t="n">
        <v>1.8</v>
      </c>
      <c r="AK205" s="2" t="n">
        <v>50.9</v>
      </c>
      <c r="AL205" s="2" t="n">
        <v>1</v>
      </c>
      <c r="AM205" s="2" t="n">
        <v>1.3</v>
      </c>
      <c r="AN205" s="2" t="n">
        <v>1.1</v>
      </c>
      <c r="AO205" s="2" t="n">
        <v>0.5</v>
      </c>
      <c r="AP205" s="2" t="n">
        <v>0.3</v>
      </c>
      <c r="AQ205" s="2" t="n">
        <v>0.3</v>
      </c>
      <c r="AR205" s="2" t="n">
        <v>0.1</v>
      </c>
      <c r="AS205" s="2" t="n">
        <v>2.9</v>
      </c>
      <c r="AT205" s="2" t="n">
        <v>0.6</v>
      </c>
      <c r="AU205" s="2" t="n">
        <v>1.5</v>
      </c>
      <c r="AV205" s="2" t="n">
        <v>0.8</v>
      </c>
      <c r="AW205" s="2" t="n">
        <v>3</v>
      </c>
      <c r="AX205" s="2"/>
      <c r="AY205" s="2"/>
      <c r="AZ205" s="2"/>
      <c r="BA205" s="2"/>
      <c r="BB205" s="2"/>
      <c r="BC205" s="2"/>
      <c r="BD205" s="4" t="s">
        <v>822</v>
      </c>
    </row>
    <row r="206" customFormat="false" ht="15" hidden="false" customHeight="false" outlineLevel="0" collapsed="false">
      <c r="A206" s="2" t="n">
        <v>1230428</v>
      </c>
      <c r="B206" s="2" t="s">
        <v>823</v>
      </c>
      <c r="C206" s="2" t="s">
        <v>746</v>
      </c>
      <c r="D206" s="2" t="s">
        <v>58</v>
      </c>
      <c r="E206" s="2" t="s">
        <v>59</v>
      </c>
      <c r="F206" s="2" t="s">
        <v>137</v>
      </c>
      <c r="G206" s="2" t="s">
        <v>138</v>
      </c>
      <c r="H206" s="2" t="s">
        <v>824</v>
      </c>
      <c r="I206" s="2" t="n">
        <v>19</v>
      </c>
      <c r="J206" s="2" t="n">
        <v>25</v>
      </c>
      <c r="K206" s="2" t="s">
        <v>825</v>
      </c>
      <c r="L206" s="2" t="s">
        <v>392</v>
      </c>
      <c r="M206" s="2" t="n">
        <v>170</v>
      </c>
      <c r="N206" s="3" t="n">
        <v>98809</v>
      </c>
      <c r="O206" s="2"/>
      <c r="P206" s="2" t="n">
        <v>14</v>
      </c>
      <c r="Q206" s="3" t="n">
        <v>955</v>
      </c>
      <c r="R206" s="2" t="n">
        <v>6.92</v>
      </c>
      <c r="S206" s="2" t="n">
        <v>0</v>
      </c>
      <c r="T206" s="2" t="n">
        <v>1</v>
      </c>
      <c r="U206" s="2" t="n">
        <v>0</v>
      </c>
      <c r="V206" s="2"/>
      <c r="W206" s="2"/>
      <c r="X206" s="2" t="n">
        <v>0.09</v>
      </c>
      <c r="Y206" s="2" t="n">
        <v>0.6</v>
      </c>
      <c r="Z206" s="2" t="n">
        <v>0.2</v>
      </c>
      <c r="AA206" s="2" t="n">
        <v>16.7</v>
      </c>
      <c r="AB206" s="2"/>
      <c r="AC206" s="2" t="n">
        <v>22</v>
      </c>
      <c r="AD206" s="2" t="n">
        <v>2.1</v>
      </c>
      <c r="AE206" s="2" t="n">
        <v>2</v>
      </c>
      <c r="AF206" s="2" t="n">
        <v>24.3</v>
      </c>
      <c r="AG206" s="2" t="n">
        <v>76.3</v>
      </c>
      <c r="AH206" s="2" t="n">
        <v>2.2</v>
      </c>
      <c r="AI206" s="2" t="n">
        <v>39</v>
      </c>
      <c r="AJ206" s="2" t="n">
        <v>0.5</v>
      </c>
      <c r="AK206" s="2" t="n">
        <v>35.7</v>
      </c>
      <c r="AL206" s="2"/>
      <c r="AM206" s="2"/>
      <c r="AN206" s="2" t="n">
        <v>3.1</v>
      </c>
      <c r="AO206" s="2" t="n">
        <v>0.8</v>
      </c>
      <c r="AP206" s="2" t="n">
        <v>0.7</v>
      </c>
      <c r="AQ206" s="2" t="n">
        <v>1.6</v>
      </c>
      <c r="AR206" s="2"/>
      <c r="AS206" s="2" t="n">
        <v>5.3</v>
      </c>
      <c r="AT206" s="2" t="n">
        <v>0.7</v>
      </c>
      <c r="AU206" s="2" t="n">
        <v>2.1</v>
      </c>
      <c r="AV206" s="2" t="n">
        <v>0.8</v>
      </c>
      <c r="AW206" s="2"/>
      <c r="AX206" s="2"/>
      <c r="AY206" s="2"/>
      <c r="AZ206" s="2"/>
      <c r="BA206" s="2"/>
      <c r="BB206" s="2"/>
      <c r="BC206" s="2"/>
      <c r="BD206" s="4" t="s">
        <v>826</v>
      </c>
    </row>
    <row r="207" customFormat="false" ht="15" hidden="false" customHeight="false" outlineLevel="0" collapsed="false">
      <c r="A207" s="2" t="n">
        <v>1399546</v>
      </c>
      <c r="B207" s="2" t="s">
        <v>827</v>
      </c>
      <c r="C207" s="2" t="s">
        <v>746</v>
      </c>
      <c r="D207" s="2" t="s">
        <v>58</v>
      </c>
      <c r="E207" s="2" t="s">
        <v>59</v>
      </c>
      <c r="F207" s="2" t="s">
        <v>137</v>
      </c>
      <c r="G207" s="2" t="s">
        <v>147</v>
      </c>
      <c r="H207" s="2" t="s">
        <v>147</v>
      </c>
      <c r="I207" s="2" t="n">
        <v>17</v>
      </c>
      <c r="J207" s="2" t="n">
        <v>25</v>
      </c>
      <c r="K207" s="2" t="s">
        <v>828</v>
      </c>
      <c r="L207" s="2" t="s">
        <v>413</v>
      </c>
      <c r="M207" s="2" t="n">
        <v>183</v>
      </c>
      <c r="N207" s="3" t="n">
        <v>109908</v>
      </c>
      <c r="O207" s="2"/>
      <c r="P207" s="2" t="n">
        <v>21</v>
      </c>
      <c r="Q207" s="3" t="n">
        <v>933</v>
      </c>
      <c r="R207" s="2" t="n">
        <v>6.63</v>
      </c>
      <c r="S207" s="2" t="n">
        <v>1</v>
      </c>
      <c r="T207" s="2" t="n">
        <v>2</v>
      </c>
      <c r="U207" s="2" t="n">
        <v>0</v>
      </c>
      <c r="V207" s="2" t="n">
        <v>1</v>
      </c>
      <c r="W207" s="2"/>
      <c r="X207" s="2" t="n">
        <v>0.19</v>
      </c>
      <c r="Y207" s="2" t="n">
        <v>3.4</v>
      </c>
      <c r="Z207" s="2" t="n">
        <v>0.9</v>
      </c>
      <c r="AA207" s="2" t="n">
        <v>5.7</v>
      </c>
      <c r="AB207" s="2" t="n">
        <v>4</v>
      </c>
      <c r="AC207" s="2" t="n">
        <v>16</v>
      </c>
      <c r="AD207" s="2" t="n">
        <v>1.5</v>
      </c>
      <c r="AE207" s="2" t="n">
        <v>3</v>
      </c>
      <c r="AF207" s="2" t="n">
        <v>8.2</v>
      </c>
      <c r="AG207" s="2" t="n">
        <v>63.4</v>
      </c>
      <c r="AH207" s="2" t="n">
        <v>0.1</v>
      </c>
      <c r="AI207" s="2" t="n">
        <v>33.3</v>
      </c>
      <c r="AJ207" s="2" t="n">
        <v>1.2</v>
      </c>
      <c r="AK207" s="2" t="n">
        <v>66.7</v>
      </c>
      <c r="AL207" s="2" t="n">
        <v>1</v>
      </c>
      <c r="AM207" s="2" t="n">
        <v>0.9</v>
      </c>
      <c r="AN207" s="2" t="n">
        <v>3.1</v>
      </c>
      <c r="AO207" s="2" t="n">
        <v>1.8</v>
      </c>
      <c r="AP207" s="2" t="n">
        <v>0.9</v>
      </c>
      <c r="AQ207" s="2" t="n">
        <v>0.4</v>
      </c>
      <c r="AR207" s="2"/>
      <c r="AS207" s="2" t="n">
        <v>4.6</v>
      </c>
      <c r="AT207" s="2" t="n">
        <v>1.3</v>
      </c>
      <c r="AU207" s="2" t="n">
        <v>2.3</v>
      </c>
      <c r="AV207" s="2" t="n">
        <v>2.9</v>
      </c>
      <c r="AW207" s="2" t="n">
        <v>2</v>
      </c>
      <c r="AX207" s="2"/>
      <c r="AY207" s="2" t="n">
        <v>1</v>
      </c>
      <c r="AZ207" s="2"/>
      <c r="BA207" s="2"/>
      <c r="BB207" s="2"/>
      <c r="BC207" s="2"/>
      <c r="BD207" s="4" t="s">
        <v>829</v>
      </c>
    </row>
    <row r="208" customFormat="false" ht="15" hidden="false" customHeight="false" outlineLevel="0" collapsed="false">
      <c r="A208" s="2" t="n">
        <v>1520743</v>
      </c>
      <c r="B208" s="2" t="s">
        <v>830</v>
      </c>
      <c r="C208" s="2" t="s">
        <v>746</v>
      </c>
      <c r="D208" s="2" t="s">
        <v>58</v>
      </c>
      <c r="E208" s="2" t="s">
        <v>59</v>
      </c>
      <c r="F208" s="2" t="s">
        <v>137</v>
      </c>
      <c r="G208" s="2" t="s">
        <v>133</v>
      </c>
      <c r="H208" s="2" t="s">
        <v>742</v>
      </c>
      <c r="I208" s="2" t="n">
        <v>7</v>
      </c>
      <c r="J208" s="2" t="n">
        <v>25</v>
      </c>
      <c r="K208" s="2" t="s">
        <v>831</v>
      </c>
      <c r="L208" s="2" t="s">
        <v>522</v>
      </c>
      <c r="M208" s="2" t="n">
        <v>173</v>
      </c>
      <c r="N208" s="3" t="n">
        <v>84292</v>
      </c>
      <c r="O208" s="2"/>
      <c r="P208" s="2" t="n">
        <v>17</v>
      </c>
      <c r="Q208" s="3" t="n">
        <v>859</v>
      </c>
      <c r="R208" s="2" t="n">
        <v>6.48</v>
      </c>
      <c r="S208" s="2" t="n">
        <v>0</v>
      </c>
      <c r="T208" s="2" t="n">
        <v>1</v>
      </c>
      <c r="U208" s="2" t="n">
        <v>0</v>
      </c>
      <c r="V208" s="2" t="n">
        <v>1</v>
      </c>
      <c r="W208" s="2"/>
      <c r="X208" s="2" t="n">
        <v>0.1</v>
      </c>
      <c r="Y208" s="2" t="n">
        <v>2.4</v>
      </c>
      <c r="Z208" s="2" t="n">
        <v>0.7</v>
      </c>
      <c r="AA208" s="2" t="n">
        <v>4.4</v>
      </c>
      <c r="AB208" s="2" t="n">
        <v>1</v>
      </c>
      <c r="AC208" s="2" t="n">
        <v>8</v>
      </c>
      <c r="AD208" s="2" t="n">
        <v>0.8</v>
      </c>
      <c r="AE208" s="2"/>
      <c r="AF208" s="2" t="n">
        <v>19</v>
      </c>
      <c r="AG208" s="2" t="n">
        <v>70.2</v>
      </c>
      <c r="AH208" s="2" t="n">
        <v>2.2</v>
      </c>
      <c r="AI208" s="2" t="n">
        <v>48.8</v>
      </c>
      <c r="AJ208" s="2" t="n">
        <v>1.3</v>
      </c>
      <c r="AK208" s="2" t="n">
        <v>34.3</v>
      </c>
      <c r="AL208" s="2"/>
      <c r="AM208" s="2"/>
      <c r="AN208" s="2" t="n">
        <v>1.7</v>
      </c>
      <c r="AO208" s="2" t="n">
        <v>0.6</v>
      </c>
      <c r="AP208" s="2" t="n">
        <v>0.4</v>
      </c>
      <c r="AQ208" s="2" t="n">
        <v>0.6</v>
      </c>
      <c r="AR208" s="2"/>
      <c r="AS208" s="2" t="n">
        <v>4.8</v>
      </c>
      <c r="AT208" s="2" t="n">
        <v>0.4</v>
      </c>
      <c r="AU208" s="2" t="n">
        <v>3</v>
      </c>
      <c r="AV208" s="2" t="n">
        <v>1.6</v>
      </c>
      <c r="AW208" s="2" t="n">
        <v>2</v>
      </c>
      <c r="AX208" s="2"/>
      <c r="AY208" s="2"/>
      <c r="AZ208" s="2"/>
      <c r="BA208" s="2"/>
      <c r="BB208" s="2"/>
      <c r="BC208" s="2"/>
      <c r="BD208" s="4" t="s">
        <v>832</v>
      </c>
    </row>
    <row r="209" customFormat="false" ht="15" hidden="false" customHeight="false" outlineLevel="0" collapsed="false">
      <c r="A209" s="2" t="n">
        <v>1724684</v>
      </c>
      <c r="B209" s="2" t="s">
        <v>833</v>
      </c>
      <c r="C209" s="2" t="s">
        <v>746</v>
      </c>
      <c r="D209" s="2" t="s">
        <v>58</v>
      </c>
      <c r="E209" s="2" t="s">
        <v>59</v>
      </c>
      <c r="F209" s="2" t="s">
        <v>137</v>
      </c>
      <c r="G209" s="2" t="s">
        <v>147</v>
      </c>
      <c r="H209" s="2" t="s">
        <v>317</v>
      </c>
      <c r="I209" s="2" t="n">
        <v>81</v>
      </c>
      <c r="J209" s="2" t="n">
        <v>21</v>
      </c>
      <c r="K209" s="2" t="s">
        <v>834</v>
      </c>
      <c r="L209" s="2" t="s">
        <v>522</v>
      </c>
      <c r="M209" s="2" t="n">
        <v>175</v>
      </c>
      <c r="N209" s="3" t="n">
        <v>128093</v>
      </c>
      <c r="O209" s="2"/>
      <c r="P209" s="2" t="n">
        <v>13</v>
      </c>
      <c r="Q209" s="3" t="n">
        <v>441</v>
      </c>
      <c r="R209" s="2"/>
      <c r="S209" s="2"/>
      <c r="T209" s="2" t="n">
        <v>1</v>
      </c>
      <c r="U209" s="2" t="n">
        <v>0</v>
      </c>
      <c r="V209" s="2"/>
      <c r="W209" s="2"/>
      <c r="X209" s="2" t="n">
        <v>0.2</v>
      </c>
      <c r="Y209" s="2" t="n">
        <v>1.2</v>
      </c>
      <c r="Z209" s="2" t="n">
        <v>0.6</v>
      </c>
      <c r="AA209" s="2" t="n">
        <v>16.7</v>
      </c>
      <c r="AB209" s="2" t="n">
        <v>1</v>
      </c>
      <c r="AC209" s="2" t="n">
        <v>1</v>
      </c>
      <c r="AD209" s="2" t="n">
        <v>0.2</v>
      </c>
      <c r="AE209" s="2" t="n">
        <v>1</v>
      </c>
      <c r="AF209" s="2" t="n">
        <v>9.4</v>
      </c>
      <c r="AG209" s="2" t="n">
        <v>67.6</v>
      </c>
      <c r="AH209" s="2" t="n">
        <v>0.2</v>
      </c>
      <c r="AI209" s="2" t="n">
        <v>11.1</v>
      </c>
      <c r="AJ209" s="2" t="n">
        <v>0.2</v>
      </c>
      <c r="AK209" s="2" t="n">
        <v>14.3</v>
      </c>
      <c r="AL209" s="2" t="n">
        <v>1</v>
      </c>
      <c r="AM209" s="2" t="n">
        <v>2</v>
      </c>
      <c r="AN209" s="2" t="n">
        <v>3.1</v>
      </c>
      <c r="AO209" s="2" t="n">
        <v>1.2</v>
      </c>
      <c r="AP209" s="2" t="n">
        <v>0.8</v>
      </c>
      <c r="AQ209" s="2" t="n">
        <v>1</v>
      </c>
      <c r="AR209" s="2"/>
      <c r="AS209" s="2" t="n">
        <v>2.2</v>
      </c>
      <c r="AT209" s="2"/>
      <c r="AU209" s="2"/>
      <c r="AV209" s="2" t="n">
        <v>4.9</v>
      </c>
      <c r="AW209" s="2" t="n">
        <v>1</v>
      </c>
      <c r="AX209" s="2"/>
      <c r="AY209" s="2"/>
      <c r="AZ209" s="2"/>
      <c r="BA209" s="2"/>
      <c r="BB209" s="2"/>
      <c r="BC209" s="2"/>
      <c r="BD209" s="4" t="s">
        <v>835</v>
      </c>
    </row>
    <row r="210" customFormat="false" ht="15" hidden="false" customHeight="false" outlineLevel="0" collapsed="false">
      <c r="A210" s="2" t="n">
        <v>1946325</v>
      </c>
      <c r="B210" s="2" t="s">
        <v>836</v>
      </c>
      <c r="C210" s="2" t="s">
        <v>746</v>
      </c>
      <c r="D210" s="2" t="s">
        <v>58</v>
      </c>
      <c r="E210" s="2" t="s">
        <v>59</v>
      </c>
      <c r="F210" s="2" t="s">
        <v>137</v>
      </c>
      <c r="G210" s="2" t="s">
        <v>147</v>
      </c>
      <c r="H210" s="2" t="s">
        <v>147</v>
      </c>
      <c r="I210" s="2" t="n">
        <v>29</v>
      </c>
      <c r="J210" s="2" t="n">
        <v>18</v>
      </c>
      <c r="K210" s="2" t="s">
        <v>837</v>
      </c>
      <c r="L210" s="2" t="s">
        <v>522</v>
      </c>
      <c r="M210" s="2" t="n">
        <v>185</v>
      </c>
      <c r="N210" s="3"/>
      <c r="O210" s="2"/>
      <c r="P210" s="2" t="n">
        <v>9</v>
      </c>
      <c r="Q210" s="3" t="n">
        <v>428</v>
      </c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 t="n">
        <v>1</v>
      </c>
      <c r="AC210" s="2" t="n">
        <v>2</v>
      </c>
      <c r="AD210" s="2" t="n">
        <v>0.4</v>
      </c>
      <c r="AE210" s="2" t="n">
        <v>1</v>
      </c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 t="n">
        <v>3</v>
      </c>
      <c r="AX210" s="2"/>
      <c r="AY210" s="2"/>
      <c r="AZ210" s="2"/>
      <c r="BA210" s="2"/>
      <c r="BB210" s="2"/>
      <c r="BC210" s="2"/>
      <c r="BD210" s="4" t="s">
        <v>838</v>
      </c>
    </row>
    <row r="211" customFormat="false" ht="15" hidden="false" customHeight="false" outlineLevel="0" collapsed="false">
      <c r="A211" s="2" t="n">
        <v>1732545</v>
      </c>
      <c r="B211" s="2" t="s">
        <v>839</v>
      </c>
      <c r="C211" s="2" t="s">
        <v>746</v>
      </c>
      <c r="D211" s="2" t="s">
        <v>58</v>
      </c>
      <c r="E211" s="2" t="s">
        <v>59</v>
      </c>
      <c r="F211" s="2" t="s">
        <v>137</v>
      </c>
      <c r="G211" s="2" t="s">
        <v>147</v>
      </c>
      <c r="H211" s="2" t="s">
        <v>147</v>
      </c>
      <c r="I211" s="2" t="n">
        <v>27</v>
      </c>
      <c r="J211" s="2" t="n">
        <v>20</v>
      </c>
      <c r="K211" s="2" t="s">
        <v>840</v>
      </c>
      <c r="L211" s="2" t="s">
        <v>67</v>
      </c>
      <c r="M211" s="2" t="n">
        <v>183</v>
      </c>
      <c r="N211" s="3"/>
      <c r="O211" s="2"/>
      <c r="P211" s="2" t="n">
        <v>3</v>
      </c>
      <c r="Q211" s="3" t="n">
        <v>137</v>
      </c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4" t="s">
        <v>841</v>
      </c>
    </row>
    <row r="212" customFormat="false" ht="15" hidden="false" customHeight="false" outlineLevel="0" collapsed="false">
      <c r="A212" s="2" t="n">
        <v>924432</v>
      </c>
      <c r="B212" s="2" t="s">
        <v>842</v>
      </c>
      <c r="C212" s="2" t="s">
        <v>843</v>
      </c>
      <c r="D212" s="2" t="s">
        <v>58</v>
      </c>
      <c r="E212" s="2" t="s">
        <v>59</v>
      </c>
      <c r="F212" s="2" t="s">
        <v>60</v>
      </c>
      <c r="G212" s="2" t="s">
        <v>61</v>
      </c>
      <c r="H212" s="2" t="s">
        <v>61</v>
      </c>
      <c r="I212" s="2" t="n">
        <v>1</v>
      </c>
      <c r="J212" s="2" t="n">
        <v>31</v>
      </c>
      <c r="K212" s="2" t="s">
        <v>844</v>
      </c>
      <c r="L212" s="2" t="s">
        <v>67</v>
      </c>
      <c r="M212" s="2" t="n">
        <v>196</v>
      </c>
      <c r="N212" s="3" t="n">
        <v>50000</v>
      </c>
      <c r="O212" s="2"/>
      <c r="P212" s="2" t="n">
        <v>24</v>
      </c>
      <c r="Q212" s="3" t="n">
        <v>2160</v>
      </c>
      <c r="R212" s="2" t="n">
        <v>6.83</v>
      </c>
      <c r="S212" s="2" t="n">
        <v>1</v>
      </c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 t="n">
        <v>11.4</v>
      </c>
      <c r="AG212" s="2" t="n">
        <v>59.3</v>
      </c>
      <c r="AH212" s="2"/>
      <c r="AI212" s="2"/>
      <c r="AJ212" s="2"/>
      <c r="AK212" s="2"/>
      <c r="AL212" s="2"/>
      <c r="AM212" s="2"/>
      <c r="AN212" s="2" t="n">
        <v>0.6</v>
      </c>
      <c r="AO212" s="2"/>
      <c r="AP212" s="2"/>
      <c r="AQ212" s="2" t="n">
        <v>0.6</v>
      </c>
      <c r="AR212" s="2"/>
      <c r="AS212" s="2" t="n">
        <v>10.2</v>
      </c>
      <c r="AT212" s="2" t="n">
        <v>0</v>
      </c>
      <c r="AU212" s="2" t="n">
        <v>0</v>
      </c>
      <c r="AV212" s="2"/>
      <c r="AW212" s="2"/>
      <c r="AX212" s="2"/>
      <c r="AY212" s="2"/>
      <c r="AZ212" s="2" t="n">
        <v>4</v>
      </c>
      <c r="BA212" s="2" t="n">
        <v>3</v>
      </c>
      <c r="BB212" s="2" t="n">
        <v>71.3</v>
      </c>
      <c r="BC212" s="2" t="n">
        <v>1.2</v>
      </c>
      <c r="BD212" s="4" t="s">
        <v>845</v>
      </c>
    </row>
    <row r="213" customFormat="false" ht="15" hidden="false" customHeight="false" outlineLevel="0" collapsed="false">
      <c r="A213" s="2" t="n">
        <v>463910</v>
      </c>
      <c r="B213" s="2" t="s">
        <v>846</v>
      </c>
      <c r="C213" s="2" t="s">
        <v>843</v>
      </c>
      <c r="D213" s="2" t="s">
        <v>58</v>
      </c>
      <c r="E213" s="2" t="s">
        <v>59</v>
      </c>
      <c r="F213" s="2" t="s">
        <v>60</v>
      </c>
      <c r="G213" s="2" t="s">
        <v>61</v>
      </c>
      <c r="H213" s="2" t="s">
        <v>61</v>
      </c>
      <c r="I213" s="2" t="n">
        <v>23</v>
      </c>
      <c r="J213" s="2" t="n">
        <v>32</v>
      </c>
      <c r="K213" s="2" t="s">
        <v>847</v>
      </c>
      <c r="L213" s="2" t="s">
        <v>99</v>
      </c>
      <c r="M213" s="2" t="n">
        <v>185</v>
      </c>
      <c r="N213" s="3" t="n">
        <v>50000</v>
      </c>
      <c r="O213" s="2"/>
      <c r="P213" s="2" t="n">
        <v>1</v>
      </c>
      <c r="Q213" s="3" t="n">
        <v>90</v>
      </c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4" t="s">
        <v>848</v>
      </c>
    </row>
    <row r="214" customFormat="false" ht="15" hidden="false" customHeight="false" outlineLevel="0" collapsed="false">
      <c r="A214" s="2" t="n">
        <v>1724699</v>
      </c>
      <c r="B214" s="2" t="s">
        <v>849</v>
      </c>
      <c r="C214" s="2" t="s">
        <v>843</v>
      </c>
      <c r="D214" s="2" t="s">
        <v>58</v>
      </c>
      <c r="E214" s="2" t="s">
        <v>59</v>
      </c>
      <c r="F214" s="2" t="s">
        <v>60</v>
      </c>
      <c r="G214" s="2"/>
      <c r="H214" s="2"/>
      <c r="I214" s="2" t="n">
        <v>44</v>
      </c>
      <c r="J214" s="2" t="n">
        <v>19</v>
      </c>
      <c r="K214" s="2" t="s">
        <v>850</v>
      </c>
      <c r="L214" s="2" t="s">
        <v>67</v>
      </c>
      <c r="M214" s="2" t="n">
        <v>191</v>
      </c>
      <c r="N214" s="3"/>
      <c r="O214" s="2"/>
      <c r="P214" s="2"/>
      <c r="Q214" s="3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4" t="s">
        <v>851</v>
      </c>
    </row>
    <row r="215" customFormat="false" ht="15" hidden="false" customHeight="false" outlineLevel="0" collapsed="false">
      <c r="A215" s="2" t="n">
        <v>639374</v>
      </c>
      <c r="B215" s="2" t="s">
        <v>852</v>
      </c>
      <c r="C215" s="2" t="s">
        <v>843</v>
      </c>
      <c r="D215" s="2" t="s">
        <v>58</v>
      </c>
      <c r="E215" s="2" t="s">
        <v>59</v>
      </c>
      <c r="F215" s="2" t="s">
        <v>70</v>
      </c>
      <c r="G215" s="2" t="s">
        <v>71</v>
      </c>
      <c r="H215" s="2" t="s">
        <v>853</v>
      </c>
      <c r="I215" s="2" t="n">
        <v>14</v>
      </c>
      <c r="J215" s="2" t="n">
        <v>34</v>
      </c>
      <c r="K215" s="2" t="s">
        <v>854</v>
      </c>
      <c r="L215" s="2" t="s">
        <v>67</v>
      </c>
      <c r="M215" s="2" t="n">
        <v>183</v>
      </c>
      <c r="N215" s="3" t="n">
        <v>50000</v>
      </c>
      <c r="O215" s="2"/>
      <c r="P215" s="2" t="n">
        <v>23</v>
      </c>
      <c r="Q215" s="3" t="n">
        <v>1965</v>
      </c>
      <c r="R215" s="2" t="n">
        <v>7.14</v>
      </c>
      <c r="S215" s="2" t="n">
        <v>2</v>
      </c>
      <c r="T215" s="2"/>
      <c r="U215" s="2"/>
      <c r="V215" s="2" t="n">
        <v>4</v>
      </c>
      <c r="W215" s="2"/>
      <c r="X215" s="2"/>
      <c r="Y215" s="2" t="n">
        <v>0.7</v>
      </c>
      <c r="Z215" s="2" t="n">
        <v>0.2</v>
      </c>
      <c r="AA215" s="2" t="n">
        <v>0</v>
      </c>
      <c r="AB215" s="2"/>
      <c r="AC215" s="2" t="n">
        <v>45</v>
      </c>
      <c r="AD215" s="2" t="n">
        <v>2.1</v>
      </c>
      <c r="AE215" s="2" t="n">
        <v>6</v>
      </c>
      <c r="AF215" s="2" t="n">
        <v>28.7</v>
      </c>
      <c r="AG215" s="2" t="n">
        <v>72.8</v>
      </c>
      <c r="AH215" s="2" t="n">
        <v>3.1</v>
      </c>
      <c r="AI215" s="2" t="n">
        <v>39.5</v>
      </c>
      <c r="AJ215" s="2" t="n">
        <v>0.3</v>
      </c>
      <c r="AK215" s="2" t="n">
        <v>60</v>
      </c>
      <c r="AL215" s="2"/>
      <c r="AM215" s="2"/>
      <c r="AN215" s="2" t="n">
        <v>4.5</v>
      </c>
      <c r="AO215" s="2" t="n">
        <v>1.5</v>
      </c>
      <c r="AP215" s="2" t="n">
        <v>0.6</v>
      </c>
      <c r="AQ215" s="2" t="n">
        <v>1.9</v>
      </c>
      <c r="AR215" s="2" t="n">
        <v>0.6</v>
      </c>
      <c r="AS215" s="2" t="n">
        <v>3.6</v>
      </c>
      <c r="AT215" s="2" t="n">
        <v>0.3</v>
      </c>
      <c r="AU215" s="2" t="n">
        <v>1.8</v>
      </c>
      <c r="AV215" s="2" t="n">
        <v>0.9</v>
      </c>
      <c r="AW215" s="2" t="n">
        <v>4</v>
      </c>
      <c r="AX215" s="2"/>
      <c r="AY215" s="2"/>
      <c r="AZ215" s="2"/>
      <c r="BA215" s="2"/>
      <c r="BB215" s="2"/>
      <c r="BC215" s="2"/>
      <c r="BD215" s="4" t="s">
        <v>855</v>
      </c>
    </row>
    <row r="216" customFormat="false" ht="15" hidden="false" customHeight="false" outlineLevel="0" collapsed="false">
      <c r="A216" s="2" t="n">
        <v>783608</v>
      </c>
      <c r="B216" s="2" t="s">
        <v>856</v>
      </c>
      <c r="C216" s="2" t="s">
        <v>843</v>
      </c>
      <c r="D216" s="2" t="s">
        <v>58</v>
      </c>
      <c r="E216" s="2" t="s">
        <v>59</v>
      </c>
      <c r="F216" s="2" t="s">
        <v>70</v>
      </c>
      <c r="G216" s="2" t="s">
        <v>75</v>
      </c>
      <c r="H216" s="2" t="s">
        <v>75</v>
      </c>
      <c r="I216" s="2" t="n">
        <v>37</v>
      </c>
      <c r="J216" s="2" t="n">
        <v>33</v>
      </c>
      <c r="K216" s="2" t="s">
        <v>857</v>
      </c>
      <c r="L216" s="2" t="s">
        <v>110</v>
      </c>
      <c r="M216" s="2" t="n">
        <v>188</v>
      </c>
      <c r="N216" s="3" t="n">
        <v>50000</v>
      </c>
      <c r="O216" s="2"/>
      <c r="P216" s="2" t="n">
        <v>21</v>
      </c>
      <c r="Q216" s="3" t="n">
        <v>1795</v>
      </c>
      <c r="R216" s="2" t="n">
        <v>6.7</v>
      </c>
      <c r="S216" s="2" t="n">
        <v>0</v>
      </c>
      <c r="T216" s="2"/>
      <c r="U216" s="2"/>
      <c r="V216" s="2"/>
      <c r="W216" s="2"/>
      <c r="X216" s="2"/>
      <c r="Y216" s="2" t="n">
        <v>0.8</v>
      </c>
      <c r="Z216" s="2" t="n">
        <v>0.3</v>
      </c>
      <c r="AA216" s="2" t="n">
        <v>0</v>
      </c>
      <c r="AB216" s="2" t="n">
        <v>5</v>
      </c>
      <c r="AC216" s="2" t="n">
        <v>4</v>
      </c>
      <c r="AD216" s="2" t="n">
        <v>0.2</v>
      </c>
      <c r="AE216" s="2" t="n">
        <v>1</v>
      </c>
      <c r="AF216" s="2" t="n">
        <v>24.2</v>
      </c>
      <c r="AG216" s="2" t="n">
        <v>77</v>
      </c>
      <c r="AH216" s="2" t="n">
        <v>2.3</v>
      </c>
      <c r="AI216" s="2" t="n">
        <v>35.4</v>
      </c>
      <c r="AJ216" s="2" t="n">
        <v>0.1</v>
      </c>
      <c r="AK216" s="2" t="n">
        <v>33.3</v>
      </c>
      <c r="AL216" s="2"/>
      <c r="AM216" s="2"/>
      <c r="AN216" s="2" t="n">
        <v>7.8</v>
      </c>
      <c r="AO216" s="2" t="n">
        <v>0.5</v>
      </c>
      <c r="AP216" s="2" t="n">
        <v>0.9</v>
      </c>
      <c r="AQ216" s="2" t="n">
        <v>6.1</v>
      </c>
      <c r="AR216" s="2" t="n">
        <v>0.4</v>
      </c>
      <c r="AS216" s="2" t="n">
        <v>2.6</v>
      </c>
      <c r="AT216" s="2"/>
      <c r="AU216" s="2"/>
      <c r="AV216" s="2" t="n">
        <v>1.2</v>
      </c>
      <c r="AW216" s="2" t="n">
        <v>3</v>
      </c>
      <c r="AX216" s="2"/>
      <c r="AY216" s="2" t="n">
        <v>1</v>
      </c>
      <c r="AZ216" s="2"/>
      <c r="BA216" s="2"/>
      <c r="BB216" s="2"/>
      <c r="BC216" s="2"/>
      <c r="BD216" s="4" t="s">
        <v>858</v>
      </c>
    </row>
    <row r="217" customFormat="false" ht="15" hidden="false" customHeight="false" outlineLevel="0" collapsed="false">
      <c r="A217" s="2" t="n">
        <v>1347962</v>
      </c>
      <c r="B217" s="2" t="s">
        <v>859</v>
      </c>
      <c r="C217" s="2" t="s">
        <v>843</v>
      </c>
      <c r="D217" s="2" t="s">
        <v>58</v>
      </c>
      <c r="E217" s="2" t="s">
        <v>59</v>
      </c>
      <c r="F217" s="2" t="s">
        <v>70</v>
      </c>
      <c r="G217" s="2" t="s">
        <v>75</v>
      </c>
      <c r="H217" s="2" t="s">
        <v>75</v>
      </c>
      <c r="I217" s="2" t="n">
        <v>4</v>
      </c>
      <c r="J217" s="2" t="n">
        <v>28</v>
      </c>
      <c r="K217" s="2" t="s">
        <v>860</v>
      </c>
      <c r="L217" s="2" t="s">
        <v>861</v>
      </c>
      <c r="M217" s="2" t="n">
        <v>193</v>
      </c>
      <c r="N217" s="3" t="n">
        <v>50000</v>
      </c>
      <c r="O217" s="2"/>
      <c r="P217" s="2" t="n">
        <v>17</v>
      </c>
      <c r="Q217" s="3" t="n">
        <v>1456</v>
      </c>
      <c r="R217" s="2" t="n">
        <v>7.16</v>
      </c>
      <c r="S217" s="2" t="n">
        <v>0</v>
      </c>
      <c r="T217" s="2" t="n">
        <v>1</v>
      </c>
      <c r="U217" s="2" t="n">
        <v>0</v>
      </c>
      <c r="V217" s="2" t="n">
        <v>2</v>
      </c>
      <c r="W217" s="2"/>
      <c r="X217" s="2" t="n">
        <v>0.06</v>
      </c>
      <c r="Y217" s="2" t="n">
        <v>0.6</v>
      </c>
      <c r="Z217" s="2" t="n">
        <v>0.2</v>
      </c>
      <c r="AA217" s="2" t="n">
        <v>11.1</v>
      </c>
      <c r="AB217" s="2" t="n">
        <v>2</v>
      </c>
      <c r="AC217" s="2" t="n">
        <v>9</v>
      </c>
      <c r="AD217" s="2" t="n">
        <v>0.6</v>
      </c>
      <c r="AE217" s="2" t="n">
        <v>3</v>
      </c>
      <c r="AF217" s="2" t="n">
        <v>22.3</v>
      </c>
      <c r="AG217" s="2" t="n">
        <v>69.6</v>
      </c>
      <c r="AH217" s="2" t="n">
        <v>3.6</v>
      </c>
      <c r="AI217" s="2" t="n">
        <v>35.1</v>
      </c>
      <c r="AJ217" s="2" t="n">
        <v>0.2</v>
      </c>
      <c r="AK217" s="2" t="n">
        <v>66.7</v>
      </c>
      <c r="AL217" s="2"/>
      <c r="AM217" s="2"/>
      <c r="AN217" s="2" t="n">
        <v>9.3</v>
      </c>
      <c r="AO217" s="2" t="n">
        <v>1.2</v>
      </c>
      <c r="AP217" s="2" t="n">
        <v>0.9</v>
      </c>
      <c r="AQ217" s="2" t="n">
        <v>6.2</v>
      </c>
      <c r="AR217" s="2" t="n">
        <v>0.9</v>
      </c>
      <c r="AS217" s="2" t="n">
        <v>3.3</v>
      </c>
      <c r="AT217" s="2"/>
      <c r="AU217" s="2"/>
      <c r="AV217" s="2" t="n">
        <v>0.9</v>
      </c>
      <c r="AW217" s="2" t="n">
        <v>5</v>
      </c>
      <c r="AX217" s="2"/>
      <c r="AY217" s="2" t="n">
        <v>1</v>
      </c>
      <c r="AZ217" s="2"/>
      <c r="BA217" s="2"/>
      <c r="BB217" s="2"/>
      <c r="BC217" s="2"/>
      <c r="BD217" s="4" t="s">
        <v>862</v>
      </c>
    </row>
    <row r="218" customFormat="false" ht="15" hidden="false" customHeight="false" outlineLevel="0" collapsed="false">
      <c r="A218" s="2" t="n">
        <v>1256231</v>
      </c>
      <c r="B218" s="2" t="s">
        <v>863</v>
      </c>
      <c r="C218" s="2" t="s">
        <v>843</v>
      </c>
      <c r="D218" s="2" t="s">
        <v>58</v>
      </c>
      <c r="E218" s="2" t="s">
        <v>59</v>
      </c>
      <c r="F218" s="2" t="s">
        <v>70</v>
      </c>
      <c r="G218" s="2" t="s">
        <v>71</v>
      </c>
      <c r="H218" s="2" t="s">
        <v>373</v>
      </c>
      <c r="I218" s="2" t="n">
        <v>13</v>
      </c>
      <c r="J218" s="2" t="n">
        <v>28</v>
      </c>
      <c r="K218" s="2" t="s">
        <v>864</v>
      </c>
      <c r="L218" s="2" t="s">
        <v>67</v>
      </c>
      <c r="M218" s="2" t="n">
        <v>178</v>
      </c>
      <c r="N218" s="3" t="n">
        <v>50000</v>
      </c>
      <c r="O218" s="2"/>
      <c r="P218" s="2" t="n">
        <v>22</v>
      </c>
      <c r="Q218" s="3" t="n">
        <v>1287</v>
      </c>
      <c r="R218" s="2" t="n">
        <v>6.74</v>
      </c>
      <c r="S218" s="2" t="n">
        <v>0</v>
      </c>
      <c r="T218" s="2" t="n">
        <v>1</v>
      </c>
      <c r="U218" s="2" t="n">
        <v>0</v>
      </c>
      <c r="V218" s="2"/>
      <c r="W218" s="2"/>
      <c r="X218" s="2" t="n">
        <v>0.07</v>
      </c>
      <c r="Y218" s="2" t="n">
        <v>0.6</v>
      </c>
      <c r="Z218" s="2" t="n">
        <v>0.2</v>
      </c>
      <c r="AA218" s="2" t="n">
        <v>11.1</v>
      </c>
      <c r="AB218" s="2"/>
      <c r="AC218" s="2" t="n">
        <v>6</v>
      </c>
      <c r="AD218" s="2" t="n">
        <v>0.4</v>
      </c>
      <c r="AE218" s="2"/>
      <c r="AF218" s="2" t="n">
        <v>29.9</v>
      </c>
      <c r="AG218" s="2" t="n">
        <v>82.9</v>
      </c>
      <c r="AH218" s="2" t="n">
        <v>1.1</v>
      </c>
      <c r="AI218" s="2" t="n">
        <v>32.7</v>
      </c>
      <c r="AJ218" s="2" t="n">
        <v>0.9</v>
      </c>
      <c r="AK218" s="2" t="n">
        <v>59.1</v>
      </c>
      <c r="AL218" s="2"/>
      <c r="AM218" s="2"/>
      <c r="AN218" s="2" t="n">
        <v>7.1</v>
      </c>
      <c r="AO218" s="2" t="n">
        <v>3.1</v>
      </c>
      <c r="AP218" s="2" t="n">
        <v>0.9</v>
      </c>
      <c r="AQ218" s="2" t="n">
        <v>2.7</v>
      </c>
      <c r="AR218" s="2" t="n">
        <v>0.3</v>
      </c>
      <c r="AS218" s="2" t="n">
        <v>3.7</v>
      </c>
      <c r="AT218" s="2" t="n">
        <v>0.3</v>
      </c>
      <c r="AU218" s="2" t="n">
        <v>1.4</v>
      </c>
      <c r="AV218" s="2" t="n">
        <v>0.9</v>
      </c>
      <c r="AW218" s="2" t="n">
        <v>3</v>
      </c>
      <c r="AX218" s="2"/>
      <c r="AY218" s="2"/>
      <c r="AZ218" s="2"/>
      <c r="BA218" s="2"/>
      <c r="BB218" s="2"/>
      <c r="BC218" s="2"/>
      <c r="BD218" s="4" t="s">
        <v>865</v>
      </c>
    </row>
    <row r="219" customFormat="false" ht="15" hidden="false" customHeight="false" outlineLevel="0" collapsed="false">
      <c r="A219" s="2" t="n">
        <v>1793931</v>
      </c>
      <c r="B219" s="2" t="s">
        <v>866</v>
      </c>
      <c r="C219" s="2" t="s">
        <v>843</v>
      </c>
      <c r="D219" s="2" t="s">
        <v>58</v>
      </c>
      <c r="E219" s="2" t="s">
        <v>59</v>
      </c>
      <c r="F219" s="2" t="s">
        <v>70</v>
      </c>
      <c r="G219" s="2" t="s">
        <v>75</v>
      </c>
      <c r="H219" s="2" t="s">
        <v>75</v>
      </c>
      <c r="I219" s="2" t="n">
        <v>21</v>
      </c>
      <c r="J219" s="2" t="n">
        <v>25</v>
      </c>
      <c r="K219" s="2" t="s">
        <v>867</v>
      </c>
      <c r="L219" s="2" t="s">
        <v>67</v>
      </c>
      <c r="M219" s="2" t="n">
        <v>193</v>
      </c>
      <c r="N219" s="3" t="n">
        <v>70206</v>
      </c>
      <c r="O219" s="2"/>
      <c r="P219" s="2" t="n">
        <v>19</v>
      </c>
      <c r="Q219" s="3" t="n">
        <v>968</v>
      </c>
      <c r="R219" s="2" t="n">
        <v>6.73</v>
      </c>
      <c r="S219" s="2" t="n">
        <v>1</v>
      </c>
      <c r="T219" s="2"/>
      <c r="U219" s="2"/>
      <c r="V219" s="2" t="n">
        <v>2</v>
      </c>
      <c r="W219" s="2"/>
      <c r="X219" s="2"/>
      <c r="Y219" s="2" t="n">
        <v>0.5</v>
      </c>
      <c r="Z219" s="2"/>
      <c r="AA219" s="2" t="n">
        <v>0</v>
      </c>
      <c r="AB219" s="2"/>
      <c r="AC219" s="2" t="n">
        <v>6</v>
      </c>
      <c r="AD219" s="2" t="n">
        <v>0.6</v>
      </c>
      <c r="AE219" s="2" t="n">
        <v>3</v>
      </c>
      <c r="AF219" s="2" t="n">
        <v>24.2</v>
      </c>
      <c r="AG219" s="2" t="n">
        <v>68.6</v>
      </c>
      <c r="AH219" s="2" t="n">
        <v>3.8</v>
      </c>
      <c r="AI219" s="2" t="n">
        <v>42.3</v>
      </c>
      <c r="AJ219" s="2" t="n">
        <v>0.2</v>
      </c>
      <c r="AK219" s="2" t="n">
        <v>100</v>
      </c>
      <c r="AL219" s="2"/>
      <c r="AM219" s="2"/>
      <c r="AN219" s="2" t="n">
        <v>9</v>
      </c>
      <c r="AO219" s="2" t="n">
        <v>1.1</v>
      </c>
      <c r="AP219" s="2" t="n">
        <v>0.9</v>
      </c>
      <c r="AQ219" s="2" t="n">
        <v>6.1</v>
      </c>
      <c r="AR219" s="2" t="n">
        <v>0.8</v>
      </c>
      <c r="AS219" s="2" t="n">
        <v>2.4</v>
      </c>
      <c r="AT219" s="2" t="n">
        <v>0.2</v>
      </c>
      <c r="AU219" s="2" t="n">
        <v>0.7</v>
      </c>
      <c r="AV219" s="2" t="n">
        <v>0.9</v>
      </c>
      <c r="AW219" s="2" t="n">
        <v>1</v>
      </c>
      <c r="AX219" s="2"/>
      <c r="AY219" s="2"/>
      <c r="AZ219" s="2"/>
      <c r="BA219" s="2"/>
      <c r="BB219" s="2"/>
      <c r="BC219" s="2"/>
      <c r="BD219" s="4" t="s">
        <v>868</v>
      </c>
    </row>
    <row r="220" customFormat="false" ht="15" hidden="false" customHeight="false" outlineLevel="0" collapsed="false">
      <c r="A220" s="2" t="n">
        <v>1044783</v>
      </c>
      <c r="B220" s="2" t="s">
        <v>869</v>
      </c>
      <c r="C220" s="2" t="s">
        <v>843</v>
      </c>
      <c r="D220" s="2" t="s">
        <v>58</v>
      </c>
      <c r="E220" s="2" t="s">
        <v>59</v>
      </c>
      <c r="F220" s="2" t="s">
        <v>70</v>
      </c>
      <c r="G220" s="2" t="s">
        <v>71</v>
      </c>
      <c r="H220" s="2" t="s">
        <v>71</v>
      </c>
      <c r="I220" s="2" t="n">
        <v>29</v>
      </c>
      <c r="J220" s="2" t="n">
        <v>28</v>
      </c>
      <c r="K220" s="2" t="s">
        <v>870</v>
      </c>
      <c r="L220" s="2" t="s">
        <v>67</v>
      </c>
      <c r="M220" s="2" t="n">
        <v>180</v>
      </c>
      <c r="N220" s="3" t="n">
        <v>50000</v>
      </c>
      <c r="O220" s="2"/>
      <c r="P220" s="2" t="n">
        <v>17</v>
      </c>
      <c r="Q220" s="3" t="n">
        <v>933</v>
      </c>
      <c r="R220" s="2" t="n">
        <v>6.55</v>
      </c>
      <c r="S220" s="2" t="n">
        <v>0</v>
      </c>
      <c r="T220" s="2"/>
      <c r="U220" s="2"/>
      <c r="V220" s="2"/>
      <c r="W220" s="2"/>
      <c r="X220" s="2"/>
      <c r="Y220" s="2" t="n">
        <v>0.4</v>
      </c>
      <c r="Z220" s="2" t="n">
        <v>0.1</v>
      </c>
      <c r="AA220" s="2" t="n">
        <v>0</v>
      </c>
      <c r="AB220" s="2"/>
      <c r="AC220" s="2" t="n">
        <v>5</v>
      </c>
      <c r="AD220" s="2" t="n">
        <v>0.5</v>
      </c>
      <c r="AE220" s="2"/>
      <c r="AF220" s="2" t="n">
        <v>21.2</v>
      </c>
      <c r="AG220" s="2" t="n">
        <v>74.3</v>
      </c>
      <c r="AH220" s="2" t="n">
        <v>2</v>
      </c>
      <c r="AI220" s="2" t="n">
        <v>35.6</v>
      </c>
      <c r="AJ220" s="2" t="n">
        <v>0.7</v>
      </c>
      <c r="AK220" s="2" t="n">
        <v>53.8</v>
      </c>
      <c r="AL220" s="2"/>
      <c r="AM220" s="2"/>
      <c r="AN220" s="2" t="n">
        <v>5.5</v>
      </c>
      <c r="AO220" s="2" t="n">
        <v>1.4</v>
      </c>
      <c r="AP220" s="2" t="n">
        <v>0.8</v>
      </c>
      <c r="AQ220" s="2" t="n">
        <v>3.2</v>
      </c>
      <c r="AR220" s="2" t="n">
        <v>0.2</v>
      </c>
      <c r="AS220" s="2" t="n">
        <v>2.6</v>
      </c>
      <c r="AT220" s="2" t="n">
        <v>0.3</v>
      </c>
      <c r="AU220" s="2" t="n">
        <v>0.8</v>
      </c>
      <c r="AV220" s="2" t="n">
        <v>1.1</v>
      </c>
      <c r="AW220" s="2" t="n">
        <v>3</v>
      </c>
      <c r="AX220" s="2"/>
      <c r="AY220" s="2"/>
      <c r="AZ220" s="2"/>
      <c r="BA220" s="2"/>
      <c r="BB220" s="2"/>
      <c r="BC220" s="2"/>
      <c r="BD220" s="4" t="s">
        <v>871</v>
      </c>
    </row>
    <row r="221" customFormat="false" ht="15" hidden="false" customHeight="false" outlineLevel="0" collapsed="false">
      <c r="A221" s="2" t="n">
        <v>1244947</v>
      </c>
      <c r="B221" s="2" t="s">
        <v>872</v>
      </c>
      <c r="C221" s="2" t="s">
        <v>843</v>
      </c>
      <c r="D221" s="2" t="s">
        <v>58</v>
      </c>
      <c r="E221" s="2" t="s">
        <v>59</v>
      </c>
      <c r="F221" s="2" t="s">
        <v>70</v>
      </c>
      <c r="G221" s="2" t="s">
        <v>75</v>
      </c>
      <c r="H221" s="2" t="s">
        <v>352</v>
      </c>
      <c r="I221" s="2" t="n">
        <v>36</v>
      </c>
      <c r="J221" s="2" t="n">
        <v>28</v>
      </c>
      <c r="K221" s="2" t="s">
        <v>873</v>
      </c>
      <c r="L221" s="2" t="s">
        <v>739</v>
      </c>
      <c r="M221" s="2" t="n">
        <v>191</v>
      </c>
      <c r="N221" s="3" t="n">
        <v>50000</v>
      </c>
      <c r="O221" s="2"/>
      <c r="P221" s="2" t="n">
        <v>9</v>
      </c>
      <c r="Q221" s="3" t="n">
        <v>529</v>
      </c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 t="n">
        <v>1</v>
      </c>
      <c r="AC221" s="2" t="n">
        <v>4</v>
      </c>
      <c r="AD221" s="2" t="n">
        <v>0.7</v>
      </c>
      <c r="AE221" s="2" t="n">
        <v>1</v>
      </c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 t="n">
        <v>2</v>
      </c>
      <c r="AX221" s="2"/>
      <c r="AY221" s="2"/>
      <c r="AZ221" s="2"/>
      <c r="BA221" s="2"/>
      <c r="BB221" s="2"/>
      <c r="BC221" s="2"/>
      <c r="BD221" s="4" t="s">
        <v>874</v>
      </c>
    </row>
    <row r="222" customFormat="false" ht="15" hidden="false" customHeight="false" outlineLevel="0" collapsed="false">
      <c r="A222" s="2" t="n">
        <v>516000</v>
      </c>
      <c r="B222" s="2" t="s">
        <v>875</v>
      </c>
      <c r="C222" s="2" t="s">
        <v>843</v>
      </c>
      <c r="D222" s="2" t="s">
        <v>58</v>
      </c>
      <c r="E222" s="2" t="s">
        <v>59</v>
      </c>
      <c r="F222" s="2" t="s">
        <v>70</v>
      </c>
      <c r="G222" s="2" t="s">
        <v>92</v>
      </c>
      <c r="H222" s="2" t="s">
        <v>92</v>
      </c>
      <c r="I222" s="2" t="n">
        <v>2</v>
      </c>
      <c r="J222" s="2" t="n">
        <v>31</v>
      </c>
      <c r="K222" s="2" t="s">
        <v>876</v>
      </c>
      <c r="L222" s="2" t="s">
        <v>110</v>
      </c>
      <c r="M222" s="2" t="n">
        <v>185</v>
      </c>
      <c r="N222" s="3" t="n">
        <v>50000</v>
      </c>
      <c r="O222" s="2"/>
      <c r="P222" s="2" t="n">
        <v>6</v>
      </c>
      <c r="Q222" s="3" t="n">
        <v>495</v>
      </c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 t="n">
        <v>2</v>
      </c>
      <c r="AD222" s="2" t="n">
        <v>0.4</v>
      </c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4" t="s">
        <v>877</v>
      </c>
    </row>
    <row r="223" customFormat="false" ht="15" hidden="false" customHeight="false" outlineLevel="0" collapsed="false">
      <c r="A223" s="2" t="n">
        <v>1627007</v>
      </c>
      <c r="B223" s="2" t="s">
        <v>878</v>
      </c>
      <c r="C223" s="2" t="s">
        <v>843</v>
      </c>
      <c r="D223" s="2" t="s">
        <v>58</v>
      </c>
      <c r="E223" s="2" t="s">
        <v>59</v>
      </c>
      <c r="F223" s="2" t="s">
        <v>70</v>
      </c>
      <c r="G223" s="2" t="s">
        <v>75</v>
      </c>
      <c r="H223" s="2" t="s">
        <v>756</v>
      </c>
      <c r="I223" s="2" t="n">
        <v>39</v>
      </c>
      <c r="J223" s="2" t="n">
        <v>26</v>
      </c>
      <c r="K223" s="2" t="s">
        <v>879</v>
      </c>
      <c r="L223" s="2" t="s">
        <v>85</v>
      </c>
      <c r="M223" s="2" t="n">
        <v>185</v>
      </c>
      <c r="N223" s="3" t="n">
        <v>60567</v>
      </c>
      <c r="O223" s="2"/>
      <c r="P223" s="2" t="n">
        <v>14</v>
      </c>
      <c r="Q223" s="3" t="n">
        <v>368</v>
      </c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 t="n">
        <v>27.9</v>
      </c>
      <c r="AG223" s="2" t="n">
        <v>81.4</v>
      </c>
      <c r="AH223" s="2" t="n">
        <v>2.4</v>
      </c>
      <c r="AI223" s="2" t="n">
        <v>35.7</v>
      </c>
      <c r="AJ223" s="2" t="n">
        <v>0.2</v>
      </c>
      <c r="AK223" s="2" t="n">
        <v>33.3</v>
      </c>
      <c r="AL223" s="2"/>
      <c r="AM223" s="2"/>
      <c r="AN223" s="2" t="n">
        <v>6.8</v>
      </c>
      <c r="AO223" s="2" t="n">
        <v>0.7</v>
      </c>
      <c r="AP223" s="2" t="n">
        <v>0.7</v>
      </c>
      <c r="AQ223" s="2" t="n">
        <v>3.4</v>
      </c>
      <c r="AR223" s="2" t="n">
        <v>2</v>
      </c>
      <c r="AS223" s="2" t="n">
        <v>4.2</v>
      </c>
      <c r="AT223" s="2"/>
      <c r="AU223" s="2"/>
      <c r="AV223" s="2" t="n">
        <v>1.5</v>
      </c>
      <c r="AW223" s="2" t="n">
        <v>1</v>
      </c>
      <c r="AX223" s="2"/>
      <c r="AY223" s="2"/>
      <c r="AZ223" s="2"/>
      <c r="BA223" s="2"/>
      <c r="BB223" s="2"/>
      <c r="BC223" s="2"/>
      <c r="BD223" s="4" t="s">
        <v>880</v>
      </c>
    </row>
    <row r="224" customFormat="false" ht="15" hidden="false" customHeight="false" outlineLevel="0" collapsed="false">
      <c r="A224" s="2" t="n">
        <v>1261592</v>
      </c>
      <c r="B224" s="2" t="s">
        <v>881</v>
      </c>
      <c r="C224" s="2" t="s">
        <v>843</v>
      </c>
      <c r="D224" s="2" t="s">
        <v>58</v>
      </c>
      <c r="E224" s="2" t="s">
        <v>59</v>
      </c>
      <c r="F224" s="2" t="s">
        <v>70</v>
      </c>
      <c r="G224" s="2" t="s">
        <v>75</v>
      </c>
      <c r="H224" s="2" t="s">
        <v>75</v>
      </c>
      <c r="I224" s="2" t="n">
        <v>3</v>
      </c>
      <c r="J224" s="2" t="n">
        <v>29</v>
      </c>
      <c r="K224" s="2" t="s">
        <v>882</v>
      </c>
      <c r="L224" s="2" t="s">
        <v>67</v>
      </c>
      <c r="M224" s="2" t="n">
        <v>193</v>
      </c>
      <c r="N224" s="3" t="n">
        <v>50000</v>
      </c>
      <c r="O224" s="2"/>
      <c r="P224" s="2"/>
      <c r="Q224" s="3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4" t="s">
        <v>883</v>
      </c>
    </row>
    <row r="225" customFormat="false" ht="15" hidden="false" customHeight="false" outlineLevel="0" collapsed="false">
      <c r="A225" s="2" t="n">
        <v>924497</v>
      </c>
      <c r="B225" s="2" t="s">
        <v>884</v>
      </c>
      <c r="C225" s="2" t="s">
        <v>843</v>
      </c>
      <c r="D225" s="2" t="s">
        <v>58</v>
      </c>
      <c r="E225" s="2" t="s">
        <v>59</v>
      </c>
      <c r="F225" s="2" t="s">
        <v>102</v>
      </c>
      <c r="G225" s="2" t="s">
        <v>103</v>
      </c>
      <c r="H225" s="2" t="s">
        <v>123</v>
      </c>
      <c r="I225" s="2" t="n">
        <v>6</v>
      </c>
      <c r="J225" s="2" t="n">
        <v>29</v>
      </c>
      <c r="K225" s="2" t="s">
        <v>885</v>
      </c>
      <c r="L225" s="2" t="s">
        <v>67</v>
      </c>
      <c r="M225" s="2" t="n">
        <v>175</v>
      </c>
      <c r="N225" s="3" t="n">
        <v>50000</v>
      </c>
      <c r="O225" s="2"/>
      <c r="P225" s="2" t="n">
        <v>24</v>
      </c>
      <c r="Q225" s="3" t="n">
        <v>2124</v>
      </c>
      <c r="R225" s="2" t="n">
        <v>7.1</v>
      </c>
      <c r="S225" s="2" t="n">
        <v>0</v>
      </c>
      <c r="T225" s="2"/>
      <c r="U225" s="2"/>
      <c r="V225" s="2" t="n">
        <v>2</v>
      </c>
      <c r="W225" s="2"/>
      <c r="X225" s="2"/>
      <c r="Y225" s="2" t="n">
        <v>0.3</v>
      </c>
      <c r="Z225" s="2" t="n">
        <v>0.1</v>
      </c>
      <c r="AA225" s="2" t="n">
        <v>0</v>
      </c>
      <c r="AB225" s="2"/>
      <c r="AC225" s="2" t="n">
        <v>41</v>
      </c>
      <c r="AD225" s="2" t="n">
        <v>1.7</v>
      </c>
      <c r="AE225" s="2" t="n">
        <v>7</v>
      </c>
      <c r="AF225" s="2" t="n">
        <v>40.4</v>
      </c>
      <c r="AG225" s="2" t="n">
        <v>80.5</v>
      </c>
      <c r="AH225" s="2" t="n">
        <v>5.7</v>
      </c>
      <c r="AI225" s="2" t="n">
        <v>48.9</v>
      </c>
      <c r="AJ225" s="2" t="n">
        <v>0.2</v>
      </c>
      <c r="AK225" s="2" t="n">
        <v>57.1</v>
      </c>
      <c r="AL225" s="2"/>
      <c r="AM225" s="2"/>
      <c r="AN225" s="2" t="n">
        <v>3.9</v>
      </c>
      <c r="AO225" s="2" t="n">
        <v>1.4</v>
      </c>
      <c r="AP225" s="2" t="n">
        <v>1</v>
      </c>
      <c r="AQ225" s="2" t="n">
        <v>1.3</v>
      </c>
      <c r="AR225" s="2" t="n">
        <v>0.2</v>
      </c>
      <c r="AS225" s="2" t="n">
        <v>3.6</v>
      </c>
      <c r="AT225" s="2" t="n">
        <v>0</v>
      </c>
      <c r="AU225" s="2" t="n">
        <v>2</v>
      </c>
      <c r="AV225" s="2" t="n">
        <v>0.6</v>
      </c>
      <c r="AW225" s="2" t="n">
        <v>4</v>
      </c>
      <c r="AX225" s="2"/>
      <c r="AY225" s="2"/>
      <c r="AZ225" s="2"/>
      <c r="BA225" s="2"/>
      <c r="BB225" s="2"/>
      <c r="BC225" s="2"/>
      <c r="BD225" s="4" t="s">
        <v>886</v>
      </c>
    </row>
    <row r="226" customFormat="false" ht="15" hidden="false" customHeight="false" outlineLevel="0" collapsed="false">
      <c r="A226" s="2" t="n">
        <v>1393400</v>
      </c>
      <c r="B226" s="2" t="s">
        <v>887</v>
      </c>
      <c r="C226" s="2" t="s">
        <v>843</v>
      </c>
      <c r="D226" s="2" t="s">
        <v>58</v>
      </c>
      <c r="E226" s="2" t="s">
        <v>59</v>
      </c>
      <c r="F226" s="2" t="s">
        <v>102</v>
      </c>
      <c r="G226" s="2" t="s">
        <v>113</v>
      </c>
      <c r="H226" s="2" t="s">
        <v>888</v>
      </c>
      <c r="I226" s="2" t="n">
        <v>5</v>
      </c>
      <c r="J226" s="2" t="n">
        <v>23</v>
      </c>
      <c r="K226" s="2" t="s">
        <v>889</v>
      </c>
      <c r="L226" s="2" t="s">
        <v>784</v>
      </c>
      <c r="M226" s="2" t="n">
        <v>193</v>
      </c>
      <c r="N226" s="3" t="n">
        <v>99450</v>
      </c>
      <c r="O226" s="2"/>
      <c r="P226" s="2" t="n">
        <v>24</v>
      </c>
      <c r="Q226" s="3" t="n">
        <v>2059</v>
      </c>
      <c r="R226" s="2" t="n">
        <v>6.92</v>
      </c>
      <c r="S226" s="2" t="n">
        <v>1</v>
      </c>
      <c r="T226" s="2" t="n">
        <v>4</v>
      </c>
      <c r="U226" s="2" t="n">
        <v>0</v>
      </c>
      <c r="V226" s="2" t="n">
        <v>2</v>
      </c>
      <c r="W226" s="2"/>
      <c r="X226" s="2" t="n">
        <v>0.17</v>
      </c>
      <c r="Y226" s="2" t="n">
        <v>1.7</v>
      </c>
      <c r="Z226" s="2" t="n">
        <v>0.6</v>
      </c>
      <c r="AA226" s="2" t="n">
        <v>10</v>
      </c>
      <c r="AB226" s="2" t="n">
        <v>6</v>
      </c>
      <c r="AC226" s="2" t="n">
        <v>16</v>
      </c>
      <c r="AD226" s="2" t="n">
        <v>0.7</v>
      </c>
      <c r="AE226" s="2" t="n">
        <v>1</v>
      </c>
      <c r="AF226" s="2" t="n">
        <v>15.1</v>
      </c>
      <c r="AG226" s="2" t="n">
        <v>73</v>
      </c>
      <c r="AH226" s="2" t="n">
        <v>0.7</v>
      </c>
      <c r="AI226" s="2" t="n">
        <v>35.4</v>
      </c>
      <c r="AJ226" s="2" t="n">
        <v>0.4</v>
      </c>
      <c r="AK226" s="2" t="n">
        <v>50</v>
      </c>
      <c r="AL226" s="2"/>
      <c r="AM226" s="2"/>
      <c r="AN226" s="2" t="n">
        <v>3.5</v>
      </c>
      <c r="AO226" s="2" t="n">
        <v>1.6</v>
      </c>
      <c r="AP226" s="2" t="n">
        <v>0.5</v>
      </c>
      <c r="AQ226" s="2" t="n">
        <v>1.3</v>
      </c>
      <c r="AR226" s="2" t="n">
        <v>0</v>
      </c>
      <c r="AS226" s="2" t="n">
        <v>2.8</v>
      </c>
      <c r="AT226" s="2" t="n">
        <v>0.1</v>
      </c>
      <c r="AU226" s="2" t="n">
        <v>1.4</v>
      </c>
      <c r="AV226" s="2" t="n">
        <v>0.8</v>
      </c>
      <c r="AW226" s="2"/>
      <c r="AX226" s="2"/>
      <c r="AY226" s="2"/>
      <c r="AZ226" s="2"/>
      <c r="BA226" s="2"/>
      <c r="BB226" s="2"/>
      <c r="BC226" s="2"/>
      <c r="BD226" s="4" t="s">
        <v>890</v>
      </c>
    </row>
    <row r="227" customFormat="false" ht="15" hidden="false" customHeight="false" outlineLevel="0" collapsed="false">
      <c r="A227" s="2" t="n">
        <v>421766</v>
      </c>
      <c r="B227" s="2" t="s">
        <v>891</v>
      </c>
      <c r="C227" s="2" t="s">
        <v>843</v>
      </c>
      <c r="D227" s="2" t="s">
        <v>58</v>
      </c>
      <c r="E227" s="2" t="s">
        <v>59</v>
      </c>
      <c r="F227" s="2" t="s">
        <v>102</v>
      </c>
      <c r="G227" s="2" t="s">
        <v>113</v>
      </c>
      <c r="H227" s="2" t="s">
        <v>892</v>
      </c>
      <c r="I227" s="2" t="n">
        <v>8</v>
      </c>
      <c r="J227" s="2" t="n">
        <v>32</v>
      </c>
      <c r="K227" s="2" t="s">
        <v>893</v>
      </c>
      <c r="L227" s="2" t="s">
        <v>679</v>
      </c>
      <c r="M227" s="2" t="n">
        <v>180</v>
      </c>
      <c r="N227" s="3" t="n">
        <v>50000</v>
      </c>
      <c r="O227" s="2"/>
      <c r="P227" s="2" t="n">
        <v>21</v>
      </c>
      <c r="Q227" s="3" t="n">
        <v>1766</v>
      </c>
      <c r="R227" s="2" t="n">
        <v>7.36</v>
      </c>
      <c r="S227" s="2" t="n">
        <v>4</v>
      </c>
      <c r="T227" s="2" t="n">
        <v>6</v>
      </c>
      <c r="U227" s="2" t="n">
        <v>1</v>
      </c>
      <c r="V227" s="2" t="n">
        <v>4</v>
      </c>
      <c r="W227" s="2"/>
      <c r="X227" s="2" t="n">
        <v>0.31</v>
      </c>
      <c r="Y227" s="2" t="n">
        <v>2.9</v>
      </c>
      <c r="Z227" s="2" t="n">
        <v>0.9</v>
      </c>
      <c r="AA227" s="2" t="n">
        <v>10.5</v>
      </c>
      <c r="AB227" s="2" t="n">
        <v>1</v>
      </c>
      <c r="AC227" s="2" t="n">
        <v>26</v>
      </c>
      <c r="AD227" s="2" t="n">
        <v>1.3</v>
      </c>
      <c r="AE227" s="2" t="n">
        <v>6</v>
      </c>
      <c r="AF227" s="2" t="n">
        <v>30.8</v>
      </c>
      <c r="AG227" s="2" t="n">
        <v>78.8</v>
      </c>
      <c r="AH227" s="2" t="n">
        <v>3</v>
      </c>
      <c r="AI227" s="2" t="n">
        <v>55.2</v>
      </c>
      <c r="AJ227" s="2" t="n">
        <v>0.5</v>
      </c>
      <c r="AK227" s="2" t="n">
        <v>27.3</v>
      </c>
      <c r="AL227" s="2"/>
      <c r="AM227" s="2"/>
      <c r="AN227" s="2" t="n">
        <v>3</v>
      </c>
      <c r="AO227" s="2" t="n">
        <v>1.9</v>
      </c>
      <c r="AP227" s="2" t="n">
        <v>0.5</v>
      </c>
      <c r="AQ227" s="2" t="n">
        <v>0.3</v>
      </c>
      <c r="AR227" s="2" t="n">
        <v>0.3</v>
      </c>
      <c r="AS227" s="2" t="n">
        <v>4.7</v>
      </c>
      <c r="AT227" s="2" t="n">
        <v>0.4</v>
      </c>
      <c r="AU227" s="2" t="n">
        <v>2.8</v>
      </c>
      <c r="AV227" s="2" t="n">
        <v>1.9</v>
      </c>
      <c r="AW227" s="2" t="n">
        <v>2</v>
      </c>
      <c r="AX227" s="2"/>
      <c r="AY227" s="2"/>
      <c r="AZ227" s="2"/>
      <c r="BA227" s="2"/>
      <c r="BB227" s="2"/>
      <c r="BC227" s="2"/>
      <c r="BD227" s="4" t="s">
        <v>894</v>
      </c>
    </row>
    <row r="228" customFormat="false" ht="15" hidden="false" customHeight="false" outlineLevel="0" collapsed="false">
      <c r="A228" s="2" t="n">
        <v>1615692</v>
      </c>
      <c r="B228" s="2" t="s">
        <v>895</v>
      </c>
      <c r="C228" s="2" t="s">
        <v>843</v>
      </c>
      <c r="D228" s="2" t="s">
        <v>58</v>
      </c>
      <c r="E228" s="2" t="s">
        <v>59</v>
      </c>
      <c r="F228" s="2" t="s">
        <v>102</v>
      </c>
      <c r="G228" s="2" t="s">
        <v>103</v>
      </c>
      <c r="H228" s="2" t="s">
        <v>123</v>
      </c>
      <c r="I228" s="2" t="n">
        <v>22</v>
      </c>
      <c r="J228" s="2" t="n">
        <v>27</v>
      </c>
      <c r="K228" s="2" t="s">
        <v>896</v>
      </c>
      <c r="L228" s="2" t="s">
        <v>897</v>
      </c>
      <c r="M228" s="2" t="n">
        <v>191</v>
      </c>
      <c r="N228" s="3" t="n">
        <v>58535</v>
      </c>
      <c r="O228" s="2"/>
      <c r="P228" s="2" t="n">
        <v>12</v>
      </c>
      <c r="Q228" s="3" t="n">
        <v>424</v>
      </c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 t="n">
        <v>5</v>
      </c>
      <c r="AD228" s="2" t="n">
        <v>1.1</v>
      </c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4" t="s">
        <v>898</v>
      </c>
    </row>
    <row r="229" customFormat="false" ht="15" hidden="false" customHeight="false" outlineLevel="0" collapsed="false">
      <c r="A229" s="2" t="n">
        <v>1349934</v>
      </c>
      <c r="B229" s="2" t="s">
        <v>899</v>
      </c>
      <c r="C229" s="2" t="s">
        <v>843</v>
      </c>
      <c r="D229" s="2" t="s">
        <v>58</v>
      </c>
      <c r="E229" s="2" t="s">
        <v>59</v>
      </c>
      <c r="F229" s="2" t="s">
        <v>137</v>
      </c>
      <c r="G229" s="2" t="s">
        <v>133</v>
      </c>
      <c r="H229" s="2" t="s">
        <v>900</v>
      </c>
      <c r="I229" s="2" t="n">
        <v>27</v>
      </c>
      <c r="J229" s="2" t="n">
        <v>26</v>
      </c>
      <c r="K229" s="2" t="s">
        <v>606</v>
      </c>
      <c r="L229" s="2" t="s">
        <v>761</v>
      </c>
      <c r="M229" s="2" t="n">
        <v>188</v>
      </c>
      <c r="N229" s="3"/>
      <c r="O229" s="2"/>
      <c r="P229" s="2" t="n">
        <v>24</v>
      </c>
      <c r="Q229" s="3" t="n">
        <v>1974</v>
      </c>
      <c r="R229" s="2" t="n">
        <v>7.12</v>
      </c>
      <c r="S229" s="2" t="n">
        <v>1</v>
      </c>
      <c r="T229" s="2" t="n">
        <v>9</v>
      </c>
      <c r="U229" s="2" t="n">
        <v>0</v>
      </c>
      <c r="V229" s="2" t="n">
        <v>3</v>
      </c>
      <c r="W229" s="2"/>
      <c r="X229" s="2" t="n">
        <v>0.41</v>
      </c>
      <c r="Y229" s="2" t="n">
        <v>2.8</v>
      </c>
      <c r="Z229" s="2" t="n">
        <v>1.2</v>
      </c>
      <c r="AA229" s="2" t="n">
        <v>14.8</v>
      </c>
      <c r="AB229" s="2" t="n">
        <v>3</v>
      </c>
      <c r="AC229" s="2" t="n">
        <v>34</v>
      </c>
      <c r="AD229" s="2" t="n">
        <v>1.6</v>
      </c>
      <c r="AE229" s="2" t="n">
        <v>8</v>
      </c>
      <c r="AF229" s="2" t="n">
        <v>11.1</v>
      </c>
      <c r="AG229" s="2" t="n">
        <v>59</v>
      </c>
      <c r="AH229" s="2" t="n">
        <v>0.2</v>
      </c>
      <c r="AI229" s="2" t="n">
        <v>16.7</v>
      </c>
      <c r="AJ229" s="2" t="n">
        <v>0.6</v>
      </c>
      <c r="AK229" s="2" t="n">
        <v>32.6</v>
      </c>
      <c r="AL229" s="2"/>
      <c r="AM229" s="2"/>
      <c r="AN229" s="2" t="n">
        <v>2.1</v>
      </c>
      <c r="AO229" s="2" t="n">
        <v>1.1</v>
      </c>
      <c r="AP229" s="2" t="n">
        <v>0.3</v>
      </c>
      <c r="AQ229" s="2" t="n">
        <v>0.5</v>
      </c>
      <c r="AR229" s="2" t="n">
        <v>0.1</v>
      </c>
      <c r="AS229" s="2" t="n">
        <v>2.1</v>
      </c>
      <c r="AT229" s="2" t="n">
        <v>0.7</v>
      </c>
      <c r="AU229" s="2" t="n">
        <v>0.8</v>
      </c>
      <c r="AV229" s="2" t="n">
        <v>2</v>
      </c>
      <c r="AW229" s="2" t="n">
        <v>4</v>
      </c>
      <c r="AX229" s="2"/>
      <c r="AY229" s="2"/>
      <c r="AZ229" s="2"/>
      <c r="BA229" s="2"/>
      <c r="BB229" s="2"/>
      <c r="BC229" s="2"/>
      <c r="BD229" s="4" t="s">
        <v>901</v>
      </c>
    </row>
    <row r="230" customFormat="false" ht="15" hidden="false" customHeight="false" outlineLevel="0" collapsed="false">
      <c r="A230" s="2" t="n">
        <v>1349074</v>
      </c>
      <c r="B230" s="2" t="s">
        <v>902</v>
      </c>
      <c r="C230" s="2" t="s">
        <v>843</v>
      </c>
      <c r="D230" s="2" t="s">
        <v>58</v>
      </c>
      <c r="E230" s="2" t="s">
        <v>59</v>
      </c>
      <c r="F230" s="2" t="s">
        <v>137</v>
      </c>
      <c r="G230" s="2" t="s">
        <v>138</v>
      </c>
      <c r="H230" s="2" t="s">
        <v>903</v>
      </c>
      <c r="I230" s="2" t="n">
        <v>90</v>
      </c>
      <c r="J230" s="2" t="n">
        <v>22</v>
      </c>
      <c r="K230" s="2" t="s">
        <v>904</v>
      </c>
      <c r="L230" s="2" t="s">
        <v>905</v>
      </c>
      <c r="M230" s="2" t="n">
        <v>173</v>
      </c>
      <c r="N230" s="3" t="n">
        <v>110477</v>
      </c>
      <c r="O230" s="2"/>
      <c r="P230" s="2" t="n">
        <v>24</v>
      </c>
      <c r="Q230" s="3" t="n">
        <v>1251</v>
      </c>
      <c r="R230" s="2" t="n">
        <v>6.47</v>
      </c>
      <c r="S230" s="2" t="n">
        <v>0</v>
      </c>
      <c r="T230" s="2" t="n">
        <v>1</v>
      </c>
      <c r="U230" s="2" t="n">
        <v>0</v>
      </c>
      <c r="V230" s="2"/>
      <c r="W230" s="2"/>
      <c r="X230" s="2" t="n">
        <v>0.07</v>
      </c>
      <c r="Y230" s="2" t="n">
        <v>1.6</v>
      </c>
      <c r="Z230" s="2" t="n">
        <v>0.6</v>
      </c>
      <c r="AA230" s="2" t="n">
        <v>4.6</v>
      </c>
      <c r="AB230" s="2" t="n">
        <v>2</v>
      </c>
      <c r="AC230" s="2" t="n">
        <v>11</v>
      </c>
      <c r="AD230" s="2" t="n">
        <v>0.8</v>
      </c>
      <c r="AE230" s="2" t="n">
        <v>1</v>
      </c>
      <c r="AF230" s="2" t="n">
        <v>12.7</v>
      </c>
      <c r="AG230" s="2" t="n">
        <v>78.7</v>
      </c>
      <c r="AH230" s="2" t="n">
        <v>0.3</v>
      </c>
      <c r="AI230" s="2" t="n">
        <v>40</v>
      </c>
      <c r="AJ230" s="2" t="n">
        <v>1.5</v>
      </c>
      <c r="AK230" s="2" t="n">
        <v>40.4</v>
      </c>
      <c r="AL230" s="2"/>
      <c r="AM230" s="2"/>
      <c r="AN230" s="2" t="n">
        <v>2.3</v>
      </c>
      <c r="AO230" s="2" t="n">
        <v>1.7</v>
      </c>
      <c r="AP230" s="2" t="n">
        <v>0.5</v>
      </c>
      <c r="AQ230" s="2" t="n">
        <v>0.1</v>
      </c>
      <c r="AR230" s="2"/>
      <c r="AS230" s="2" t="n">
        <v>3</v>
      </c>
      <c r="AT230" s="2" t="n">
        <v>0.5</v>
      </c>
      <c r="AU230" s="2" t="n">
        <v>1.6</v>
      </c>
      <c r="AV230" s="2" t="n">
        <v>1.5</v>
      </c>
      <c r="AW230" s="2" t="n">
        <v>1</v>
      </c>
      <c r="AX230" s="2"/>
      <c r="AY230" s="2"/>
      <c r="AZ230" s="2"/>
      <c r="BA230" s="2"/>
      <c r="BB230" s="2"/>
      <c r="BC230" s="2"/>
      <c r="BD230" s="4" t="s">
        <v>906</v>
      </c>
    </row>
    <row r="231" customFormat="false" ht="15" hidden="false" customHeight="false" outlineLevel="0" collapsed="false">
      <c r="A231" s="2" t="n">
        <v>1246572</v>
      </c>
      <c r="B231" s="2" t="s">
        <v>907</v>
      </c>
      <c r="C231" s="2" t="s">
        <v>843</v>
      </c>
      <c r="D231" s="2" t="s">
        <v>58</v>
      </c>
      <c r="E231" s="2" t="s">
        <v>59</v>
      </c>
      <c r="F231" s="2" t="s">
        <v>137</v>
      </c>
      <c r="G231" s="2" t="s">
        <v>147</v>
      </c>
      <c r="H231" s="2" t="s">
        <v>147</v>
      </c>
      <c r="I231" s="2" t="n">
        <v>19</v>
      </c>
      <c r="J231" s="2" t="n">
        <v>27</v>
      </c>
      <c r="K231" s="2" t="s">
        <v>908</v>
      </c>
      <c r="L231" s="2" t="s">
        <v>413</v>
      </c>
      <c r="M231" s="2" t="n">
        <v>175</v>
      </c>
      <c r="N231" s="3" t="n">
        <v>62295</v>
      </c>
      <c r="O231" s="2"/>
      <c r="P231" s="2" t="n">
        <v>20</v>
      </c>
      <c r="Q231" s="3" t="n">
        <v>886</v>
      </c>
      <c r="R231" s="2" t="n">
        <v>6.64</v>
      </c>
      <c r="S231" s="2" t="n">
        <v>1</v>
      </c>
      <c r="T231" s="2" t="n">
        <v>3</v>
      </c>
      <c r="U231" s="2" t="n">
        <v>0</v>
      </c>
      <c r="V231" s="2" t="n">
        <v>2</v>
      </c>
      <c r="W231" s="2"/>
      <c r="X231" s="2" t="n">
        <v>0.3</v>
      </c>
      <c r="Y231" s="2" t="n">
        <v>2.2</v>
      </c>
      <c r="Z231" s="2" t="n">
        <v>1.1</v>
      </c>
      <c r="AA231" s="2" t="n">
        <v>13.6</v>
      </c>
      <c r="AB231" s="2" t="n">
        <v>4</v>
      </c>
      <c r="AC231" s="2" t="n">
        <v>13</v>
      </c>
      <c r="AD231" s="2" t="n">
        <v>1.3</v>
      </c>
      <c r="AE231" s="2" t="n">
        <v>1</v>
      </c>
      <c r="AF231" s="2" t="n">
        <v>14.9</v>
      </c>
      <c r="AG231" s="2" t="n">
        <v>79.9</v>
      </c>
      <c r="AH231" s="2" t="n">
        <v>0.5</v>
      </c>
      <c r="AI231" s="2" t="n">
        <v>62.5</v>
      </c>
      <c r="AJ231" s="2" t="n">
        <v>0.8</v>
      </c>
      <c r="AK231" s="2" t="n">
        <v>42.1</v>
      </c>
      <c r="AL231" s="2"/>
      <c r="AM231" s="2"/>
      <c r="AN231" s="2" t="n">
        <v>2.1</v>
      </c>
      <c r="AO231" s="2" t="n">
        <v>1</v>
      </c>
      <c r="AP231" s="2" t="n">
        <v>0.2</v>
      </c>
      <c r="AQ231" s="2" t="n">
        <v>0.8</v>
      </c>
      <c r="AR231" s="2" t="n">
        <v>0.1</v>
      </c>
      <c r="AS231" s="2" t="n">
        <v>2.8</v>
      </c>
      <c r="AT231" s="2" t="n">
        <v>0.6</v>
      </c>
      <c r="AU231" s="2" t="n">
        <v>1.6</v>
      </c>
      <c r="AV231" s="2" t="n">
        <v>0.9</v>
      </c>
      <c r="AW231" s="2"/>
      <c r="AX231" s="2"/>
      <c r="AY231" s="2"/>
      <c r="AZ231" s="2"/>
      <c r="BA231" s="2"/>
      <c r="BB231" s="2"/>
      <c r="BC231" s="2"/>
      <c r="BD231" s="4" t="s">
        <v>909</v>
      </c>
    </row>
    <row r="232" customFormat="false" ht="15" hidden="false" customHeight="false" outlineLevel="0" collapsed="false">
      <c r="A232" s="2" t="n">
        <v>1606022</v>
      </c>
      <c r="B232" s="2" t="s">
        <v>910</v>
      </c>
      <c r="C232" s="2" t="s">
        <v>843</v>
      </c>
      <c r="D232" s="2" t="s">
        <v>58</v>
      </c>
      <c r="E232" s="2" t="s">
        <v>59</v>
      </c>
      <c r="F232" s="2" t="s">
        <v>137</v>
      </c>
      <c r="G232" s="2" t="s">
        <v>147</v>
      </c>
      <c r="H232" s="2" t="s">
        <v>147</v>
      </c>
      <c r="I232" s="2" t="n">
        <v>15</v>
      </c>
      <c r="J232" s="2" t="n">
        <v>24</v>
      </c>
      <c r="K232" s="2" t="s">
        <v>911</v>
      </c>
      <c r="L232" s="2" t="s">
        <v>67</v>
      </c>
      <c r="M232" s="2" t="n">
        <v>178</v>
      </c>
      <c r="N232" s="3" t="n">
        <v>72973</v>
      </c>
      <c r="O232" s="2"/>
      <c r="P232" s="2" t="n">
        <v>16</v>
      </c>
      <c r="Q232" s="3" t="n">
        <v>425</v>
      </c>
      <c r="R232" s="2"/>
      <c r="S232" s="2"/>
      <c r="T232" s="2" t="n">
        <v>2</v>
      </c>
      <c r="U232" s="2" t="n">
        <v>0</v>
      </c>
      <c r="V232" s="2"/>
      <c r="W232" s="2"/>
      <c r="X232" s="2" t="n">
        <v>0.42</v>
      </c>
      <c r="Y232" s="2" t="n">
        <v>2.8</v>
      </c>
      <c r="Z232" s="2" t="n">
        <v>1.9</v>
      </c>
      <c r="AA232" s="2" t="n">
        <v>15.4</v>
      </c>
      <c r="AB232" s="2" t="n">
        <v>3</v>
      </c>
      <c r="AC232" s="2" t="n">
        <v>8</v>
      </c>
      <c r="AD232" s="2" t="n">
        <v>1.7</v>
      </c>
      <c r="AE232" s="2" t="n">
        <v>2</v>
      </c>
      <c r="AF232" s="2" t="n">
        <v>10.4</v>
      </c>
      <c r="AG232" s="2" t="n">
        <v>75.4</v>
      </c>
      <c r="AH232" s="2"/>
      <c r="AI232" s="2"/>
      <c r="AJ232" s="2" t="n">
        <v>0.4</v>
      </c>
      <c r="AK232" s="2" t="n">
        <v>28.6</v>
      </c>
      <c r="AL232" s="2"/>
      <c r="AM232" s="2"/>
      <c r="AN232" s="2" t="n">
        <v>1.7</v>
      </c>
      <c r="AO232" s="2" t="n">
        <v>0.8</v>
      </c>
      <c r="AP232" s="2" t="n">
        <v>0.8</v>
      </c>
      <c r="AQ232" s="2"/>
      <c r="AR232" s="2"/>
      <c r="AS232" s="2" t="n">
        <v>2.1</v>
      </c>
      <c r="AT232" s="2" t="n">
        <v>0.8</v>
      </c>
      <c r="AU232" s="2" t="n">
        <v>0.4</v>
      </c>
      <c r="AV232" s="2" t="n">
        <v>2.5</v>
      </c>
      <c r="AW232" s="2" t="n">
        <v>2</v>
      </c>
      <c r="AX232" s="2"/>
      <c r="AY232" s="2"/>
      <c r="AZ232" s="2"/>
      <c r="BA232" s="2"/>
      <c r="BB232" s="2"/>
      <c r="BC232" s="2"/>
      <c r="BD232" s="4" t="s">
        <v>912</v>
      </c>
    </row>
    <row r="233" customFormat="false" ht="15" hidden="false" customHeight="false" outlineLevel="0" collapsed="false">
      <c r="A233" s="2" t="n">
        <v>1637791</v>
      </c>
      <c r="B233" s="2" t="s">
        <v>913</v>
      </c>
      <c r="C233" s="2" t="s">
        <v>843</v>
      </c>
      <c r="D233" s="2" t="s">
        <v>58</v>
      </c>
      <c r="E233" s="2" t="s">
        <v>59</v>
      </c>
      <c r="F233" s="2" t="s">
        <v>137</v>
      </c>
      <c r="G233" s="2" t="s">
        <v>147</v>
      </c>
      <c r="H233" s="2" t="s">
        <v>147</v>
      </c>
      <c r="I233" s="2" t="n">
        <v>9</v>
      </c>
      <c r="J233" s="2" t="n">
        <v>25</v>
      </c>
      <c r="K233" s="2" t="s">
        <v>914</v>
      </c>
      <c r="L233" s="2" t="s">
        <v>67</v>
      </c>
      <c r="M233" s="2" t="n">
        <v>195</v>
      </c>
      <c r="N233" s="3" t="n">
        <v>60316</v>
      </c>
      <c r="O233" s="2"/>
      <c r="P233" s="2" t="n">
        <v>9</v>
      </c>
      <c r="Q233" s="3" t="n">
        <v>335</v>
      </c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 t="n">
        <v>7</v>
      </c>
      <c r="AC233" s="2" t="n">
        <v>5</v>
      </c>
      <c r="AD233" s="2" t="n">
        <v>1.3</v>
      </c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 t="n">
        <v>1</v>
      </c>
      <c r="AY233" s="2"/>
      <c r="AZ233" s="2"/>
      <c r="BA233" s="2"/>
      <c r="BB233" s="2"/>
      <c r="BC233" s="2"/>
      <c r="BD233" s="4" t="s">
        <v>915</v>
      </c>
    </row>
    <row r="234" customFormat="false" ht="15" hidden="false" customHeight="false" outlineLevel="0" collapsed="false">
      <c r="A234" s="2" t="n">
        <v>1641223</v>
      </c>
      <c r="B234" s="2" t="s">
        <v>916</v>
      </c>
      <c r="C234" s="2" t="s">
        <v>843</v>
      </c>
      <c r="D234" s="2" t="s">
        <v>58</v>
      </c>
      <c r="E234" s="2" t="s">
        <v>59</v>
      </c>
      <c r="F234" s="2" t="s">
        <v>137</v>
      </c>
      <c r="G234" s="2" t="s">
        <v>147</v>
      </c>
      <c r="H234" s="2" t="s">
        <v>147</v>
      </c>
      <c r="I234" s="2" t="n">
        <v>20</v>
      </c>
      <c r="J234" s="2" t="n">
        <v>25</v>
      </c>
      <c r="K234" s="2" t="s">
        <v>917</v>
      </c>
      <c r="L234" s="2" t="s">
        <v>67</v>
      </c>
      <c r="M234" s="2" t="n">
        <v>191</v>
      </c>
      <c r="N234" s="3" t="n">
        <v>182121</v>
      </c>
      <c r="O234" s="2"/>
      <c r="P234" s="2" t="n">
        <v>12</v>
      </c>
      <c r="Q234" s="3" t="n">
        <v>331</v>
      </c>
      <c r="R234" s="2"/>
      <c r="S234" s="2"/>
      <c r="T234" s="2" t="n">
        <v>3</v>
      </c>
      <c r="U234" s="2" t="n">
        <v>0</v>
      </c>
      <c r="V234" s="2"/>
      <c r="W234" s="2"/>
      <c r="X234" s="2"/>
      <c r="Y234" s="2"/>
      <c r="Z234" s="2"/>
      <c r="AA234" s="2"/>
      <c r="AB234" s="2" t="n">
        <v>1</v>
      </c>
      <c r="AC234" s="2" t="n">
        <v>4</v>
      </c>
      <c r="AD234" s="2" t="n">
        <v>1.1</v>
      </c>
      <c r="AE234" s="2" t="n">
        <v>1</v>
      </c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4" t="s">
        <v>918</v>
      </c>
    </row>
    <row r="235" customFormat="false" ht="15" hidden="false" customHeight="false" outlineLevel="0" collapsed="false">
      <c r="A235" s="2" t="n">
        <v>2009299</v>
      </c>
      <c r="B235" s="2" t="s">
        <v>919</v>
      </c>
      <c r="C235" s="2" t="s">
        <v>843</v>
      </c>
      <c r="D235" s="2" t="s">
        <v>58</v>
      </c>
      <c r="E235" s="2" t="s">
        <v>59</v>
      </c>
      <c r="F235" s="2" t="s">
        <v>137</v>
      </c>
      <c r="G235" s="2"/>
      <c r="H235" s="2"/>
      <c r="I235" s="2" t="n">
        <v>70</v>
      </c>
      <c r="J235" s="2" t="n">
        <v>15</v>
      </c>
      <c r="K235" s="2" t="s">
        <v>920</v>
      </c>
      <c r="L235" s="2" t="s">
        <v>67</v>
      </c>
      <c r="M235" s="2" t="n">
        <v>185</v>
      </c>
      <c r="N235" s="3"/>
      <c r="O235" s="2"/>
      <c r="P235" s="2"/>
      <c r="Q235" s="3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4" t="s">
        <v>921</v>
      </c>
    </row>
    <row r="236" customFormat="false" ht="15" hidden="false" customHeight="false" outlineLevel="0" collapsed="false">
      <c r="A236" s="2" t="n">
        <v>1928363</v>
      </c>
      <c r="B236" s="2" t="s">
        <v>922</v>
      </c>
      <c r="C236" s="2" t="s">
        <v>923</v>
      </c>
      <c r="D236" s="2" t="s">
        <v>341</v>
      </c>
      <c r="E236" s="2" t="s">
        <v>59</v>
      </c>
      <c r="F236" s="2" t="s">
        <v>60</v>
      </c>
      <c r="G236" s="2" t="s">
        <v>61</v>
      </c>
      <c r="H236" s="2" t="s">
        <v>61</v>
      </c>
      <c r="I236" s="2" t="n">
        <v>13</v>
      </c>
      <c r="J236" s="2" t="n">
        <v>23</v>
      </c>
      <c r="K236" s="2" t="s">
        <v>924</v>
      </c>
      <c r="L236" s="2" t="s">
        <v>67</v>
      </c>
      <c r="M236" s="2" t="n">
        <v>196</v>
      </c>
      <c r="N236" s="3"/>
      <c r="O236" s="2"/>
      <c r="P236" s="2" t="n">
        <v>11</v>
      </c>
      <c r="Q236" s="3" t="n">
        <v>914</v>
      </c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 t="n">
        <v>1</v>
      </c>
      <c r="AX236" s="2"/>
      <c r="AY236" s="2"/>
      <c r="AZ236" s="2" t="n">
        <v>2</v>
      </c>
      <c r="BA236" s="2"/>
      <c r="BB236" s="2"/>
      <c r="BC236" s="2"/>
      <c r="BD236" s="4" t="s">
        <v>925</v>
      </c>
    </row>
    <row r="237" customFormat="false" ht="15" hidden="false" customHeight="false" outlineLevel="0" collapsed="false">
      <c r="A237" s="2" t="n">
        <v>1067383</v>
      </c>
      <c r="B237" s="2" t="s">
        <v>926</v>
      </c>
      <c r="C237" s="2" t="s">
        <v>923</v>
      </c>
      <c r="D237" s="2" t="s">
        <v>341</v>
      </c>
      <c r="E237" s="2" t="s">
        <v>59</v>
      </c>
      <c r="F237" s="2" t="s">
        <v>60</v>
      </c>
      <c r="G237" s="2" t="s">
        <v>61</v>
      </c>
      <c r="H237" s="2" t="s">
        <v>61</v>
      </c>
      <c r="I237" s="2" t="n">
        <v>1</v>
      </c>
      <c r="J237" s="2" t="n">
        <v>33</v>
      </c>
      <c r="K237" s="2" t="s">
        <v>927</v>
      </c>
      <c r="L237" s="2" t="s">
        <v>116</v>
      </c>
      <c r="M237" s="2" t="n">
        <v>183</v>
      </c>
      <c r="N237" s="3" t="n">
        <v>50000</v>
      </c>
      <c r="O237" s="2"/>
      <c r="P237" s="2" t="n">
        <v>5</v>
      </c>
      <c r="Q237" s="3" t="n">
        <v>436</v>
      </c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 t="n">
        <v>1</v>
      </c>
      <c r="BA237" s="2"/>
      <c r="BB237" s="2"/>
      <c r="BC237" s="2"/>
      <c r="BD237" s="4" t="s">
        <v>928</v>
      </c>
    </row>
    <row r="238" customFormat="false" ht="15" hidden="false" customHeight="false" outlineLevel="0" collapsed="false">
      <c r="A238" s="2" t="n">
        <v>1724704</v>
      </c>
      <c r="B238" s="2" t="s">
        <v>929</v>
      </c>
      <c r="C238" s="2" t="s">
        <v>923</v>
      </c>
      <c r="D238" s="2" t="s">
        <v>341</v>
      </c>
      <c r="E238" s="2" t="s">
        <v>59</v>
      </c>
      <c r="F238" s="2" t="s">
        <v>60</v>
      </c>
      <c r="G238" s="2" t="s">
        <v>61</v>
      </c>
      <c r="H238" s="2" t="s">
        <v>61</v>
      </c>
      <c r="I238" s="2" t="n">
        <v>96</v>
      </c>
      <c r="J238" s="2" t="n">
        <v>22</v>
      </c>
      <c r="K238" s="2" t="s">
        <v>930</v>
      </c>
      <c r="L238" s="2" t="s">
        <v>67</v>
      </c>
      <c r="M238" s="2" t="n">
        <v>192</v>
      </c>
      <c r="N238" s="3"/>
      <c r="O238" s="2"/>
      <c r="P238" s="2"/>
      <c r="Q238" s="3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4" t="s">
        <v>931</v>
      </c>
    </row>
    <row r="239" customFormat="false" ht="15" hidden="false" customHeight="false" outlineLevel="0" collapsed="false">
      <c r="A239" s="2" t="n">
        <v>2009303</v>
      </c>
      <c r="B239" s="2" t="s">
        <v>932</v>
      </c>
      <c r="C239" s="2" t="s">
        <v>923</v>
      </c>
      <c r="D239" s="2" t="s">
        <v>341</v>
      </c>
      <c r="E239" s="2" t="s">
        <v>59</v>
      </c>
      <c r="F239" s="2" t="s">
        <v>60</v>
      </c>
      <c r="G239" s="2"/>
      <c r="H239" s="2"/>
      <c r="I239" s="2" t="n">
        <v>99</v>
      </c>
      <c r="J239" s="2" t="n">
        <v>25</v>
      </c>
      <c r="K239" s="2" t="s">
        <v>933</v>
      </c>
      <c r="L239" s="2" t="s">
        <v>67</v>
      </c>
      <c r="M239" s="2" t="n">
        <v>185</v>
      </c>
      <c r="N239" s="3"/>
      <c r="O239" s="2"/>
      <c r="P239" s="2"/>
      <c r="Q239" s="3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4" t="s">
        <v>934</v>
      </c>
    </row>
    <row r="240" customFormat="false" ht="15" hidden="false" customHeight="false" outlineLevel="0" collapsed="false">
      <c r="A240" s="2" t="n">
        <v>729785</v>
      </c>
      <c r="B240" s="2" t="s">
        <v>935</v>
      </c>
      <c r="C240" s="2" t="s">
        <v>923</v>
      </c>
      <c r="D240" s="2" t="s">
        <v>341</v>
      </c>
      <c r="E240" s="2" t="s">
        <v>59</v>
      </c>
      <c r="F240" s="2" t="s">
        <v>70</v>
      </c>
      <c r="G240" s="2" t="s">
        <v>75</v>
      </c>
      <c r="H240" s="2" t="s">
        <v>75</v>
      </c>
      <c r="I240" s="2" t="n">
        <v>33</v>
      </c>
      <c r="J240" s="2" t="n">
        <v>33</v>
      </c>
      <c r="K240" s="2" t="s">
        <v>936</v>
      </c>
      <c r="L240" s="2" t="s">
        <v>346</v>
      </c>
      <c r="M240" s="2" t="n">
        <v>183</v>
      </c>
      <c r="N240" s="3" t="n">
        <v>94069</v>
      </c>
      <c r="O240" s="2"/>
      <c r="P240" s="2" t="n">
        <v>25</v>
      </c>
      <c r="Q240" s="3" t="n">
        <v>2115</v>
      </c>
      <c r="R240" s="2" t="n">
        <v>6.86</v>
      </c>
      <c r="S240" s="2" t="n">
        <v>0</v>
      </c>
      <c r="T240" s="2" t="n">
        <v>1</v>
      </c>
      <c r="U240" s="2" t="n">
        <v>0</v>
      </c>
      <c r="V240" s="2"/>
      <c r="W240" s="2"/>
      <c r="X240" s="2" t="n">
        <v>0.04</v>
      </c>
      <c r="Y240" s="2" t="n">
        <v>0.3</v>
      </c>
      <c r="Z240" s="2" t="n">
        <v>0.1</v>
      </c>
      <c r="AA240" s="2" t="n">
        <v>14.3</v>
      </c>
      <c r="AB240" s="2" t="n">
        <v>2</v>
      </c>
      <c r="AC240" s="2" t="n">
        <v>9</v>
      </c>
      <c r="AD240" s="2" t="n">
        <v>0.4</v>
      </c>
      <c r="AE240" s="2" t="n">
        <v>2</v>
      </c>
      <c r="AF240" s="2" t="n">
        <v>47.2</v>
      </c>
      <c r="AG240" s="2" t="n">
        <v>87.1</v>
      </c>
      <c r="AH240" s="2" t="n">
        <v>5.2</v>
      </c>
      <c r="AI240" s="2" t="n">
        <v>53.5</v>
      </c>
      <c r="AJ240" s="2" t="n">
        <v>0.1</v>
      </c>
      <c r="AK240" s="2" t="n">
        <v>100</v>
      </c>
      <c r="AL240" s="2"/>
      <c r="AM240" s="2"/>
      <c r="AN240" s="2" t="n">
        <v>7.1</v>
      </c>
      <c r="AO240" s="2" t="n">
        <v>0.9</v>
      </c>
      <c r="AP240" s="2" t="n">
        <v>0.7</v>
      </c>
      <c r="AQ240" s="2" t="n">
        <v>4.7</v>
      </c>
      <c r="AR240" s="2" t="n">
        <v>0.8</v>
      </c>
      <c r="AS240" s="2" t="n">
        <v>3.6</v>
      </c>
      <c r="AT240" s="2" t="n">
        <v>0</v>
      </c>
      <c r="AU240" s="2" t="n">
        <v>1.3</v>
      </c>
      <c r="AV240" s="2" t="n">
        <v>0.8</v>
      </c>
      <c r="AW240" s="2" t="n">
        <v>3</v>
      </c>
      <c r="AX240" s="2"/>
      <c r="AY240" s="2"/>
      <c r="AZ240" s="2"/>
      <c r="BA240" s="2"/>
      <c r="BB240" s="2"/>
      <c r="BC240" s="2"/>
      <c r="BD240" s="4" t="s">
        <v>937</v>
      </c>
    </row>
    <row r="241" customFormat="false" ht="15" hidden="false" customHeight="false" outlineLevel="0" collapsed="false">
      <c r="A241" s="2" t="n">
        <v>1259223</v>
      </c>
      <c r="B241" s="2" t="s">
        <v>938</v>
      </c>
      <c r="C241" s="2" t="s">
        <v>923</v>
      </c>
      <c r="D241" s="2" t="s">
        <v>341</v>
      </c>
      <c r="E241" s="2" t="s">
        <v>59</v>
      </c>
      <c r="F241" s="2" t="s">
        <v>70</v>
      </c>
      <c r="G241" s="2" t="s">
        <v>71</v>
      </c>
      <c r="H241" s="2" t="s">
        <v>71</v>
      </c>
      <c r="I241" s="2" t="n">
        <v>81</v>
      </c>
      <c r="J241" s="2" t="n">
        <v>25</v>
      </c>
      <c r="K241" s="2" t="s">
        <v>939</v>
      </c>
      <c r="L241" s="2" t="s">
        <v>116</v>
      </c>
      <c r="M241" s="2" t="n">
        <v>175</v>
      </c>
      <c r="N241" s="3" t="n">
        <v>82411</v>
      </c>
      <c r="O241" s="2"/>
      <c r="P241" s="2" t="n">
        <v>25</v>
      </c>
      <c r="Q241" s="3" t="n">
        <v>2021</v>
      </c>
      <c r="R241" s="2" t="n">
        <v>7.01</v>
      </c>
      <c r="S241" s="2" t="n">
        <v>2</v>
      </c>
      <c r="T241" s="2" t="n">
        <v>1</v>
      </c>
      <c r="U241" s="2" t="n">
        <v>0</v>
      </c>
      <c r="V241" s="2" t="n">
        <v>2</v>
      </c>
      <c r="W241" s="2"/>
      <c r="X241" s="2" t="n">
        <v>0.04</v>
      </c>
      <c r="Y241" s="2" t="n">
        <v>0.5</v>
      </c>
      <c r="Z241" s="2" t="n">
        <v>0.2</v>
      </c>
      <c r="AA241" s="2" t="n">
        <v>9.1</v>
      </c>
      <c r="AB241" s="2" t="n">
        <v>3</v>
      </c>
      <c r="AC241" s="2" t="n">
        <v>38</v>
      </c>
      <c r="AD241" s="2" t="n">
        <v>1.7</v>
      </c>
      <c r="AE241" s="2" t="n">
        <v>3</v>
      </c>
      <c r="AF241" s="2" t="n">
        <v>31.2</v>
      </c>
      <c r="AG241" s="2" t="n">
        <v>85.8</v>
      </c>
      <c r="AH241" s="2" t="n">
        <v>2</v>
      </c>
      <c r="AI241" s="2" t="n">
        <v>47.4</v>
      </c>
      <c r="AJ241" s="2" t="n">
        <v>0.4</v>
      </c>
      <c r="AK241" s="2" t="n">
        <v>50</v>
      </c>
      <c r="AL241" s="2"/>
      <c r="AM241" s="2"/>
      <c r="AN241" s="2" t="n">
        <v>5.5</v>
      </c>
      <c r="AO241" s="2" t="n">
        <v>1.7</v>
      </c>
      <c r="AP241" s="2" t="n">
        <v>1.3</v>
      </c>
      <c r="AQ241" s="2" t="n">
        <v>2.4</v>
      </c>
      <c r="AR241" s="2" t="n">
        <v>0.1</v>
      </c>
      <c r="AS241" s="2" t="n">
        <v>4.1</v>
      </c>
      <c r="AT241" s="2" t="n">
        <v>0.2</v>
      </c>
      <c r="AU241" s="2" t="n">
        <v>2</v>
      </c>
      <c r="AV241" s="2" t="n">
        <v>1.2</v>
      </c>
      <c r="AW241" s="2" t="n">
        <v>3</v>
      </c>
      <c r="AX241" s="2"/>
      <c r="AY241" s="2"/>
      <c r="AZ241" s="2"/>
      <c r="BA241" s="2"/>
      <c r="BB241" s="2"/>
      <c r="BC241" s="2"/>
      <c r="BD241" s="4" t="s">
        <v>940</v>
      </c>
    </row>
    <row r="242" customFormat="false" ht="15" hidden="false" customHeight="false" outlineLevel="0" collapsed="false">
      <c r="A242" s="2" t="n">
        <v>1610220</v>
      </c>
      <c r="B242" s="2" t="s">
        <v>941</v>
      </c>
      <c r="C242" s="2" t="s">
        <v>923</v>
      </c>
      <c r="D242" s="2" t="s">
        <v>341</v>
      </c>
      <c r="E242" s="2" t="s">
        <v>59</v>
      </c>
      <c r="F242" s="2" t="s">
        <v>70</v>
      </c>
      <c r="G242" s="2" t="s">
        <v>75</v>
      </c>
      <c r="H242" s="2" t="s">
        <v>75</v>
      </c>
      <c r="I242" s="2" t="n">
        <v>3</v>
      </c>
      <c r="J242" s="2" t="n">
        <v>25</v>
      </c>
      <c r="K242" s="2" t="s">
        <v>942</v>
      </c>
      <c r="L242" s="2" t="s">
        <v>67</v>
      </c>
      <c r="M242" s="2" t="n">
        <v>191</v>
      </c>
      <c r="N242" s="3" t="n">
        <v>94143</v>
      </c>
      <c r="O242" s="2"/>
      <c r="P242" s="2" t="n">
        <v>19</v>
      </c>
      <c r="Q242" s="3" t="n">
        <v>1358</v>
      </c>
      <c r="R242" s="2" t="n">
        <v>6.75</v>
      </c>
      <c r="S242" s="2" t="n">
        <v>0</v>
      </c>
      <c r="T242" s="2"/>
      <c r="U242" s="2"/>
      <c r="V242" s="2"/>
      <c r="W242" s="2"/>
      <c r="X242" s="2"/>
      <c r="Y242" s="2" t="n">
        <v>0.3</v>
      </c>
      <c r="Z242" s="2" t="n">
        <v>0.1</v>
      </c>
      <c r="AA242" s="2" t="n">
        <v>0</v>
      </c>
      <c r="AB242" s="2"/>
      <c r="AC242" s="2" t="n">
        <v>4</v>
      </c>
      <c r="AD242" s="2" t="n">
        <v>0.3</v>
      </c>
      <c r="AE242" s="2" t="n">
        <v>1</v>
      </c>
      <c r="AF242" s="2" t="n">
        <v>45.7</v>
      </c>
      <c r="AG242" s="2" t="n">
        <v>87.8</v>
      </c>
      <c r="AH242" s="2" t="n">
        <v>2.6</v>
      </c>
      <c r="AI242" s="2" t="n">
        <v>46.4</v>
      </c>
      <c r="AJ242" s="2" t="n">
        <v>0.2</v>
      </c>
      <c r="AK242" s="2" t="n">
        <v>100</v>
      </c>
      <c r="AL242" s="2"/>
      <c r="AM242" s="2"/>
      <c r="AN242" s="2" t="n">
        <v>8</v>
      </c>
      <c r="AO242" s="2" t="n">
        <v>1.6</v>
      </c>
      <c r="AP242" s="2" t="n">
        <v>1.1</v>
      </c>
      <c r="AQ242" s="2" t="n">
        <v>4.6</v>
      </c>
      <c r="AR242" s="2" t="n">
        <v>0.7</v>
      </c>
      <c r="AS242" s="2" t="n">
        <v>3.4</v>
      </c>
      <c r="AT242" s="2"/>
      <c r="AU242" s="2"/>
      <c r="AV242" s="2" t="n">
        <v>1.2</v>
      </c>
      <c r="AW242" s="2" t="n">
        <v>1</v>
      </c>
      <c r="AX242" s="2"/>
      <c r="AY242" s="2" t="n">
        <v>1</v>
      </c>
      <c r="AZ242" s="2"/>
      <c r="BA242" s="2"/>
      <c r="BB242" s="2"/>
      <c r="BC242" s="2"/>
      <c r="BD242" s="4" t="s">
        <v>943</v>
      </c>
    </row>
    <row r="243" customFormat="false" ht="15" hidden="false" customHeight="false" outlineLevel="0" collapsed="false">
      <c r="A243" s="2" t="n">
        <v>1542157</v>
      </c>
      <c r="B243" s="2" t="s">
        <v>944</v>
      </c>
      <c r="C243" s="2" t="s">
        <v>923</v>
      </c>
      <c r="D243" s="2" t="s">
        <v>341</v>
      </c>
      <c r="E243" s="2" t="s">
        <v>59</v>
      </c>
      <c r="F243" s="2" t="s">
        <v>70</v>
      </c>
      <c r="G243" s="2" t="s">
        <v>92</v>
      </c>
      <c r="H243" s="2" t="s">
        <v>92</v>
      </c>
      <c r="I243" s="2" t="n">
        <v>6</v>
      </c>
      <c r="J243" s="2" t="n">
        <v>26</v>
      </c>
      <c r="K243" s="2" t="s">
        <v>945</v>
      </c>
      <c r="L243" s="2" t="s">
        <v>67</v>
      </c>
      <c r="M243" s="2" t="n">
        <v>170</v>
      </c>
      <c r="N243" s="3" t="n">
        <v>78604</v>
      </c>
      <c r="O243" s="2"/>
      <c r="P243" s="2" t="n">
        <v>16</v>
      </c>
      <c r="Q243" s="3" t="n">
        <v>1049</v>
      </c>
      <c r="R243" s="2" t="n">
        <v>6.96</v>
      </c>
      <c r="S243" s="2" t="n">
        <v>1</v>
      </c>
      <c r="T243" s="2"/>
      <c r="U243" s="2"/>
      <c r="V243" s="2" t="n">
        <v>3</v>
      </c>
      <c r="W243" s="2"/>
      <c r="X243" s="2"/>
      <c r="Y243" s="2" t="n">
        <v>0.2</v>
      </c>
      <c r="Z243" s="2"/>
      <c r="AA243" s="2" t="n">
        <v>0</v>
      </c>
      <c r="AB243" s="2"/>
      <c r="AC243" s="2" t="n">
        <v>17</v>
      </c>
      <c r="AD243" s="2" t="n">
        <v>1.5</v>
      </c>
      <c r="AE243" s="2" t="n">
        <v>6</v>
      </c>
      <c r="AF243" s="2" t="n">
        <v>32.9</v>
      </c>
      <c r="AG243" s="2" t="n">
        <v>84.4</v>
      </c>
      <c r="AH243" s="2" t="n">
        <v>1.7</v>
      </c>
      <c r="AI243" s="2" t="n">
        <v>46.5</v>
      </c>
      <c r="AJ243" s="2" t="n">
        <v>0.1</v>
      </c>
      <c r="AK243" s="2" t="n">
        <v>25</v>
      </c>
      <c r="AL243" s="2"/>
      <c r="AM243" s="2"/>
      <c r="AN243" s="2" t="n">
        <v>5.4</v>
      </c>
      <c r="AO243" s="2" t="n">
        <v>2.1</v>
      </c>
      <c r="AP243" s="2" t="n">
        <v>0.9</v>
      </c>
      <c r="AQ243" s="2" t="n">
        <v>2.1</v>
      </c>
      <c r="AR243" s="2" t="n">
        <v>0.3</v>
      </c>
      <c r="AS243" s="2" t="n">
        <v>3.2</v>
      </c>
      <c r="AT243" s="2" t="n">
        <v>0.1</v>
      </c>
      <c r="AU243" s="2" t="n">
        <v>1.3</v>
      </c>
      <c r="AV243" s="2" t="n">
        <v>0.9</v>
      </c>
      <c r="AW243" s="2" t="n">
        <v>2</v>
      </c>
      <c r="AX243" s="2"/>
      <c r="AY243" s="2"/>
      <c r="AZ243" s="2"/>
      <c r="BA243" s="2"/>
      <c r="BB243" s="2"/>
      <c r="BC243" s="2"/>
      <c r="BD243" s="4" t="s">
        <v>946</v>
      </c>
    </row>
    <row r="244" customFormat="false" ht="15" hidden="false" customHeight="false" outlineLevel="0" collapsed="false">
      <c r="A244" s="2" t="n">
        <v>1252109</v>
      </c>
      <c r="B244" s="2" t="s">
        <v>947</v>
      </c>
      <c r="C244" s="2" t="s">
        <v>923</v>
      </c>
      <c r="D244" s="2" t="s">
        <v>341</v>
      </c>
      <c r="E244" s="2" t="s">
        <v>59</v>
      </c>
      <c r="F244" s="2" t="s">
        <v>70</v>
      </c>
      <c r="G244" s="2" t="s">
        <v>92</v>
      </c>
      <c r="H244" s="2" t="s">
        <v>356</v>
      </c>
      <c r="I244" s="2" t="n">
        <v>45</v>
      </c>
      <c r="J244" s="2" t="n">
        <v>23</v>
      </c>
      <c r="K244" s="2" t="s">
        <v>948</v>
      </c>
      <c r="L244" s="2" t="s">
        <v>67</v>
      </c>
      <c r="M244" s="2" t="n">
        <v>188</v>
      </c>
      <c r="N244" s="3"/>
      <c r="O244" s="2"/>
      <c r="P244" s="2" t="n">
        <v>18</v>
      </c>
      <c r="Q244" s="3" t="n">
        <v>961</v>
      </c>
      <c r="R244" s="2" t="n">
        <v>6.68</v>
      </c>
      <c r="S244" s="2" t="n">
        <v>1</v>
      </c>
      <c r="T244" s="2" t="n">
        <v>1</v>
      </c>
      <c r="U244" s="2" t="n">
        <v>0</v>
      </c>
      <c r="V244" s="2"/>
      <c r="W244" s="2"/>
      <c r="X244" s="2" t="n">
        <v>0.09</v>
      </c>
      <c r="Y244" s="2" t="n">
        <v>0.8</v>
      </c>
      <c r="Z244" s="2" t="n">
        <v>0.1</v>
      </c>
      <c r="AA244" s="2" t="n">
        <v>11.1</v>
      </c>
      <c r="AB244" s="2"/>
      <c r="AC244" s="2" t="n">
        <v>8</v>
      </c>
      <c r="AD244" s="2" t="n">
        <v>0.7</v>
      </c>
      <c r="AE244" s="2"/>
      <c r="AF244" s="2" t="n">
        <v>39.9</v>
      </c>
      <c r="AG244" s="2" t="n">
        <v>82.1</v>
      </c>
      <c r="AH244" s="2" t="n">
        <v>1</v>
      </c>
      <c r="AI244" s="2" t="n">
        <v>30.6</v>
      </c>
      <c r="AJ244" s="2" t="n">
        <v>0.5</v>
      </c>
      <c r="AK244" s="2" t="n">
        <v>38.5</v>
      </c>
      <c r="AL244" s="2"/>
      <c r="AM244" s="2"/>
      <c r="AN244" s="2" t="n">
        <v>6</v>
      </c>
      <c r="AO244" s="2" t="n">
        <v>1.8</v>
      </c>
      <c r="AP244" s="2" t="n">
        <v>0.7</v>
      </c>
      <c r="AQ244" s="2" t="n">
        <v>3.1</v>
      </c>
      <c r="AR244" s="2" t="n">
        <v>0.4</v>
      </c>
      <c r="AS244" s="2" t="n">
        <v>2.5</v>
      </c>
      <c r="AT244" s="2" t="n">
        <v>0.1</v>
      </c>
      <c r="AU244" s="2" t="n">
        <v>1.2</v>
      </c>
      <c r="AV244" s="2" t="n">
        <v>0.8</v>
      </c>
      <c r="AW244" s="2" t="n">
        <v>3</v>
      </c>
      <c r="AX244" s="2"/>
      <c r="AY244" s="2"/>
      <c r="AZ244" s="2"/>
      <c r="BA244" s="2"/>
      <c r="BB244" s="2"/>
      <c r="BC244" s="2"/>
      <c r="BD244" s="4" t="s">
        <v>949</v>
      </c>
    </row>
    <row r="245" customFormat="false" ht="15" hidden="false" customHeight="false" outlineLevel="0" collapsed="false">
      <c r="A245" s="2" t="n">
        <v>942835</v>
      </c>
      <c r="B245" s="2" t="s">
        <v>950</v>
      </c>
      <c r="C245" s="2" t="s">
        <v>923</v>
      </c>
      <c r="D245" s="2" t="s">
        <v>341</v>
      </c>
      <c r="E245" s="2" t="s">
        <v>59</v>
      </c>
      <c r="F245" s="2" t="s">
        <v>70</v>
      </c>
      <c r="G245" s="2" t="s">
        <v>75</v>
      </c>
      <c r="H245" s="2" t="s">
        <v>75</v>
      </c>
      <c r="I245" s="2" t="n">
        <v>30</v>
      </c>
      <c r="J245" s="2" t="n">
        <v>26</v>
      </c>
      <c r="K245" s="2" t="s">
        <v>951</v>
      </c>
      <c r="L245" s="2" t="s">
        <v>67</v>
      </c>
      <c r="M245" s="2" t="n">
        <v>193</v>
      </c>
      <c r="N245" s="3" t="n">
        <v>165711</v>
      </c>
      <c r="O245" s="2"/>
      <c r="P245" s="2" t="n">
        <v>16</v>
      </c>
      <c r="Q245" s="3" t="n">
        <v>911</v>
      </c>
      <c r="R245" s="2"/>
      <c r="S245" s="2"/>
      <c r="T245" s="2"/>
      <c r="U245" s="2"/>
      <c r="V245" s="2"/>
      <c r="W245" s="2"/>
      <c r="X245" s="2"/>
      <c r="Y245" s="2" t="n">
        <v>0.8</v>
      </c>
      <c r="Z245" s="2" t="n">
        <v>0.1</v>
      </c>
      <c r="AA245" s="2" t="n">
        <v>0</v>
      </c>
      <c r="AB245" s="2" t="n">
        <v>1</v>
      </c>
      <c r="AC245" s="2"/>
      <c r="AD245" s="2"/>
      <c r="AE245" s="2"/>
      <c r="AF245" s="2" t="n">
        <v>47.9</v>
      </c>
      <c r="AG245" s="2" t="n">
        <v>86.9</v>
      </c>
      <c r="AH245" s="2" t="n">
        <v>3.5</v>
      </c>
      <c r="AI245" s="2" t="n">
        <v>44.9</v>
      </c>
      <c r="AJ245" s="2"/>
      <c r="AK245" s="2"/>
      <c r="AL245" s="2"/>
      <c r="AM245" s="2"/>
      <c r="AN245" s="2" t="n">
        <v>10.4</v>
      </c>
      <c r="AO245" s="2" t="n">
        <v>0.5</v>
      </c>
      <c r="AP245" s="2" t="n">
        <v>0.5</v>
      </c>
      <c r="AQ245" s="2" t="n">
        <v>8.4</v>
      </c>
      <c r="AR245" s="2" t="n">
        <v>1</v>
      </c>
      <c r="AS245" s="2" t="n">
        <v>2.7</v>
      </c>
      <c r="AT245" s="2"/>
      <c r="AU245" s="2"/>
      <c r="AV245" s="2" t="n">
        <v>0.6</v>
      </c>
      <c r="AW245" s="2" t="n">
        <v>1</v>
      </c>
      <c r="AX245" s="2"/>
      <c r="AY245" s="2"/>
      <c r="AZ245" s="2"/>
      <c r="BA245" s="2"/>
      <c r="BB245" s="2"/>
      <c r="BC245" s="2"/>
      <c r="BD245" s="4" t="s">
        <v>952</v>
      </c>
    </row>
    <row r="246" customFormat="false" ht="15" hidden="false" customHeight="false" outlineLevel="0" collapsed="false">
      <c r="A246" s="2" t="n">
        <v>1615816</v>
      </c>
      <c r="B246" s="2" t="s">
        <v>953</v>
      </c>
      <c r="C246" s="2" t="s">
        <v>923</v>
      </c>
      <c r="D246" s="2" t="s">
        <v>341</v>
      </c>
      <c r="E246" s="2" t="s">
        <v>59</v>
      </c>
      <c r="F246" s="2" t="s">
        <v>70</v>
      </c>
      <c r="G246" s="2" t="s">
        <v>92</v>
      </c>
      <c r="H246" s="2" t="s">
        <v>92</v>
      </c>
      <c r="I246" s="2" t="n">
        <v>20</v>
      </c>
      <c r="J246" s="2" t="n">
        <v>22</v>
      </c>
      <c r="K246" s="2" t="s">
        <v>954</v>
      </c>
      <c r="L246" s="2" t="s">
        <v>67</v>
      </c>
      <c r="M246" s="2" t="n">
        <v>173</v>
      </c>
      <c r="N246" s="3" t="n">
        <v>81005</v>
      </c>
      <c r="O246" s="2"/>
      <c r="P246" s="2" t="n">
        <v>5</v>
      </c>
      <c r="Q246" s="3" t="n">
        <v>372</v>
      </c>
      <c r="R246" s="2"/>
      <c r="S246" s="2"/>
      <c r="T246" s="2"/>
      <c r="U246" s="2"/>
      <c r="V246" s="2" t="n">
        <v>1</v>
      </c>
      <c r="W246" s="2"/>
      <c r="X246" s="2"/>
      <c r="Y246" s="2"/>
      <c r="Z246" s="2"/>
      <c r="AA246" s="2"/>
      <c r="AB246" s="2"/>
      <c r="AC246" s="2" t="n">
        <v>2</v>
      </c>
      <c r="AD246" s="2" t="n">
        <v>0.5</v>
      </c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4" t="s">
        <v>955</v>
      </c>
    </row>
    <row r="247" customFormat="false" ht="15" hidden="false" customHeight="false" outlineLevel="0" collapsed="false">
      <c r="A247" s="2" t="n">
        <v>1638563</v>
      </c>
      <c r="B247" s="2" t="s">
        <v>956</v>
      </c>
      <c r="C247" s="2" t="s">
        <v>923</v>
      </c>
      <c r="D247" s="2" t="s">
        <v>341</v>
      </c>
      <c r="E247" s="2" t="s">
        <v>59</v>
      </c>
      <c r="F247" s="2" t="s">
        <v>70</v>
      </c>
      <c r="G247" s="2" t="s">
        <v>92</v>
      </c>
      <c r="H247" s="2" t="s">
        <v>957</v>
      </c>
      <c r="I247" s="2" t="n">
        <v>4</v>
      </c>
      <c r="J247" s="2" t="n">
        <v>27</v>
      </c>
      <c r="K247" s="2" t="s">
        <v>958</v>
      </c>
      <c r="L247" s="2" t="s">
        <v>214</v>
      </c>
      <c r="M247" s="2" t="n">
        <v>193</v>
      </c>
      <c r="N247" s="3"/>
      <c r="O247" s="2"/>
      <c r="P247" s="2"/>
      <c r="Q247" s="3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4" t="s">
        <v>959</v>
      </c>
    </row>
    <row r="248" customFormat="false" ht="15" hidden="false" customHeight="false" outlineLevel="0" collapsed="false">
      <c r="A248" s="2" t="n">
        <v>1341112</v>
      </c>
      <c r="B248" s="2" t="s">
        <v>960</v>
      </c>
      <c r="C248" s="2" t="s">
        <v>923</v>
      </c>
      <c r="D248" s="2" t="s">
        <v>341</v>
      </c>
      <c r="E248" s="2" t="s">
        <v>59</v>
      </c>
      <c r="F248" s="2" t="s">
        <v>102</v>
      </c>
      <c r="G248" s="2" t="s">
        <v>404</v>
      </c>
      <c r="H248" s="2" t="s">
        <v>605</v>
      </c>
      <c r="I248" s="2" t="n">
        <v>23</v>
      </c>
      <c r="J248" s="2" t="n">
        <v>27</v>
      </c>
      <c r="K248" s="2" t="s">
        <v>961</v>
      </c>
      <c r="L248" s="2" t="s">
        <v>67</v>
      </c>
      <c r="M248" s="2" t="n">
        <v>183</v>
      </c>
      <c r="N248" s="3" t="n">
        <v>72000</v>
      </c>
      <c r="O248" s="2"/>
      <c r="P248" s="2" t="n">
        <v>22</v>
      </c>
      <c r="Q248" s="3" t="n">
        <v>1749</v>
      </c>
      <c r="R248" s="2" t="n">
        <v>6.62</v>
      </c>
      <c r="S248" s="2" t="n">
        <v>0</v>
      </c>
      <c r="T248" s="2"/>
      <c r="U248" s="2"/>
      <c r="V248" s="2" t="n">
        <v>1</v>
      </c>
      <c r="W248" s="2"/>
      <c r="X248" s="2"/>
      <c r="Y248" s="2" t="n">
        <v>0.4</v>
      </c>
      <c r="Z248" s="2" t="n">
        <v>0.1</v>
      </c>
      <c r="AA248" s="2" t="n">
        <v>0</v>
      </c>
      <c r="AB248" s="2"/>
      <c r="AC248" s="2" t="n">
        <v>9</v>
      </c>
      <c r="AD248" s="2" t="n">
        <v>0.5</v>
      </c>
      <c r="AE248" s="2" t="n">
        <v>2</v>
      </c>
      <c r="AF248" s="2" t="n">
        <v>28.9</v>
      </c>
      <c r="AG248" s="2" t="n">
        <v>83.5</v>
      </c>
      <c r="AH248" s="2" t="n">
        <v>1.8</v>
      </c>
      <c r="AI248" s="2" t="n">
        <v>47.3</v>
      </c>
      <c r="AJ248" s="2" t="n">
        <v>0.1</v>
      </c>
      <c r="AK248" s="2" t="n">
        <v>25</v>
      </c>
      <c r="AL248" s="2"/>
      <c r="AM248" s="2"/>
      <c r="AN248" s="2" t="n">
        <v>4.2</v>
      </c>
      <c r="AO248" s="2" t="n">
        <v>1.7</v>
      </c>
      <c r="AP248" s="2" t="n">
        <v>0.9</v>
      </c>
      <c r="AQ248" s="2" t="n">
        <v>1.3</v>
      </c>
      <c r="AR248" s="2" t="n">
        <v>0.2</v>
      </c>
      <c r="AS248" s="2" t="n">
        <v>2.6</v>
      </c>
      <c r="AT248" s="2" t="n">
        <v>0.3</v>
      </c>
      <c r="AU248" s="2" t="n">
        <v>1.4</v>
      </c>
      <c r="AV248" s="2" t="n">
        <v>1.5</v>
      </c>
      <c r="AW248" s="2" t="n">
        <v>4</v>
      </c>
      <c r="AX248" s="2" t="n">
        <v>1</v>
      </c>
      <c r="AY248" s="2"/>
      <c r="AZ248" s="2"/>
      <c r="BA248" s="2"/>
      <c r="BB248" s="2"/>
      <c r="BC248" s="2"/>
      <c r="BD248" s="4" t="s">
        <v>962</v>
      </c>
    </row>
    <row r="249" customFormat="false" ht="15" hidden="false" customHeight="false" outlineLevel="0" collapsed="false">
      <c r="A249" s="2" t="n">
        <v>1644436</v>
      </c>
      <c r="B249" s="2" t="s">
        <v>963</v>
      </c>
      <c r="C249" s="2" t="s">
        <v>923</v>
      </c>
      <c r="D249" s="2" t="s">
        <v>341</v>
      </c>
      <c r="E249" s="2" t="s">
        <v>59</v>
      </c>
      <c r="F249" s="2" t="s">
        <v>102</v>
      </c>
      <c r="G249" s="2" t="s">
        <v>103</v>
      </c>
      <c r="H249" s="2" t="s">
        <v>128</v>
      </c>
      <c r="I249" s="2" t="n">
        <v>27</v>
      </c>
      <c r="J249" s="2" t="n">
        <v>27</v>
      </c>
      <c r="K249" s="2" t="s">
        <v>964</v>
      </c>
      <c r="L249" s="2" t="s">
        <v>965</v>
      </c>
      <c r="M249" s="2" t="n">
        <v>173</v>
      </c>
      <c r="N249" s="3" t="n">
        <v>52964</v>
      </c>
      <c r="O249" s="2"/>
      <c r="P249" s="2" t="n">
        <v>24</v>
      </c>
      <c r="Q249" s="3" t="n">
        <v>1640</v>
      </c>
      <c r="R249" s="2" t="n">
        <v>7.08</v>
      </c>
      <c r="S249" s="2" t="n">
        <v>1</v>
      </c>
      <c r="T249" s="2"/>
      <c r="U249" s="2"/>
      <c r="V249" s="2" t="n">
        <v>1</v>
      </c>
      <c r="W249" s="2"/>
      <c r="X249" s="2"/>
      <c r="Y249" s="2" t="n">
        <v>1</v>
      </c>
      <c r="Z249" s="2"/>
      <c r="AA249" s="2" t="n">
        <v>0</v>
      </c>
      <c r="AB249" s="2"/>
      <c r="AC249" s="2" t="n">
        <v>30</v>
      </c>
      <c r="AD249" s="2" t="n">
        <v>1.6</v>
      </c>
      <c r="AE249" s="2" t="n">
        <v>3</v>
      </c>
      <c r="AF249" s="2" t="n">
        <v>57.3</v>
      </c>
      <c r="AG249" s="2" t="n">
        <v>81.7</v>
      </c>
      <c r="AH249" s="2" t="n">
        <v>9.7</v>
      </c>
      <c r="AI249" s="2" t="n">
        <v>55.7</v>
      </c>
      <c r="AJ249" s="2" t="n">
        <v>0.5</v>
      </c>
      <c r="AK249" s="2" t="n">
        <v>81.8</v>
      </c>
      <c r="AL249" s="2"/>
      <c r="AM249" s="2"/>
      <c r="AN249" s="2" t="n">
        <v>4.2</v>
      </c>
      <c r="AO249" s="2" t="n">
        <v>2</v>
      </c>
      <c r="AP249" s="2" t="n">
        <v>1</v>
      </c>
      <c r="AQ249" s="2" t="n">
        <v>0.9</v>
      </c>
      <c r="AR249" s="2" t="n">
        <v>0.3</v>
      </c>
      <c r="AS249" s="2" t="n">
        <v>7.4</v>
      </c>
      <c r="AT249" s="2" t="n">
        <v>0.2</v>
      </c>
      <c r="AU249" s="2" t="n">
        <v>4.4</v>
      </c>
      <c r="AV249" s="2" t="n">
        <v>0.9</v>
      </c>
      <c r="AW249" s="2" t="n">
        <v>5</v>
      </c>
      <c r="AX249" s="2"/>
      <c r="AY249" s="2" t="n">
        <v>1</v>
      </c>
      <c r="AZ249" s="2"/>
      <c r="BA249" s="2"/>
      <c r="BB249" s="2"/>
      <c r="BC249" s="2"/>
      <c r="BD249" s="4" t="s">
        <v>966</v>
      </c>
    </row>
    <row r="250" customFormat="false" ht="15" hidden="false" customHeight="false" outlineLevel="0" collapsed="false">
      <c r="A250" s="2" t="n">
        <v>1767539</v>
      </c>
      <c r="B250" s="2" t="s">
        <v>967</v>
      </c>
      <c r="C250" s="2" t="s">
        <v>923</v>
      </c>
      <c r="D250" s="2" t="s">
        <v>341</v>
      </c>
      <c r="E250" s="2" t="s">
        <v>59</v>
      </c>
      <c r="F250" s="2" t="s">
        <v>102</v>
      </c>
      <c r="G250" s="2" t="s">
        <v>404</v>
      </c>
      <c r="H250" s="2" t="s">
        <v>588</v>
      </c>
      <c r="I250" s="2" t="n">
        <v>18</v>
      </c>
      <c r="J250" s="2" t="n">
        <v>18</v>
      </c>
      <c r="K250" s="2" t="s">
        <v>968</v>
      </c>
      <c r="L250" s="2" t="s">
        <v>67</v>
      </c>
      <c r="M250" s="2" t="n">
        <v>178</v>
      </c>
      <c r="N250" s="3" t="n">
        <v>779748</v>
      </c>
      <c r="O250" s="2"/>
      <c r="P250" s="2" t="n">
        <v>24</v>
      </c>
      <c r="Q250" s="3" t="n">
        <v>1311</v>
      </c>
      <c r="R250" s="2" t="n">
        <v>6.62</v>
      </c>
      <c r="S250" s="2" t="n">
        <v>0</v>
      </c>
      <c r="T250" s="2"/>
      <c r="U250" s="2"/>
      <c r="V250" s="2" t="n">
        <v>1</v>
      </c>
      <c r="W250" s="2"/>
      <c r="X250" s="2"/>
      <c r="Y250" s="2" t="n">
        <v>1.2</v>
      </c>
      <c r="Z250" s="2" t="n">
        <v>0.4</v>
      </c>
      <c r="AA250" s="2" t="n">
        <v>0</v>
      </c>
      <c r="AB250" s="2"/>
      <c r="AC250" s="2" t="n">
        <v>10</v>
      </c>
      <c r="AD250" s="2" t="n">
        <v>0.7</v>
      </c>
      <c r="AE250" s="2" t="n">
        <v>2</v>
      </c>
      <c r="AF250" s="2" t="n">
        <v>31.2</v>
      </c>
      <c r="AG250" s="2" t="n">
        <v>81.9</v>
      </c>
      <c r="AH250" s="2" t="n">
        <v>1.6</v>
      </c>
      <c r="AI250" s="2" t="n">
        <v>54.5</v>
      </c>
      <c r="AJ250" s="2" t="n">
        <v>0.8</v>
      </c>
      <c r="AK250" s="2" t="n">
        <v>64.7</v>
      </c>
      <c r="AL250" s="2"/>
      <c r="AM250" s="2"/>
      <c r="AN250" s="2" t="n">
        <v>3.2</v>
      </c>
      <c r="AO250" s="2" t="n">
        <v>1.3</v>
      </c>
      <c r="AP250" s="2" t="n">
        <v>0.8</v>
      </c>
      <c r="AQ250" s="2" t="n">
        <v>1.1</v>
      </c>
      <c r="AR250" s="2" t="n">
        <v>0.1</v>
      </c>
      <c r="AS250" s="2" t="n">
        <v>3.7</v>
      </c>
      <c r="AT250" s="2" t="n">
        <v>0.5</v>
      </c>
      <c r="AU250" s="2" t="n">
        <v>2</v>
      </c>
      <c r="AV250" s="2" t="n">
        <v>1.5</v>
      </c>
      <c r="AW250" s="2" t="n">
        <v>4</v>
      </c>
      <c r="AX250" s="2"/>
      <c r="AY250" s="2"/>
      <c r="AZ250" s="2"/>
      <c r="BA250" s="2"/>
      <c r="BB250" s="2"/>
      <c r="BC250" s="2"/>
      <c r="BD250" s="4" t="s">
        <v>969</v>
      </c>
    </row>
    <row r="251" customFormat="false" ht="15" hidden="false" customHeight="false" outlineLevel="0" collapsed="false">
      <c r="A251" s="2" t="n">
        <v>1276879</v>
      </c>
      <c r="B251" s="2" t="s">
        <v>970</v>
      </c>
      <c r="C251" s="2" t="s">
        <v>923</v>
      </c>
      <c r="D251" s="2" t="s">
        <v>341</v>
      </c>
      <c r="E251" s="2" t="s">
        <v>59</v>
      </c>
      <c r="F251" s="2" t="s">
        <v>102</v>
      </c>
      <c r="G251" s="2" t="s">
        <v>113</v>
      </c>
      <c r="H251" s="2" t="s">
        <v>114</v>
      </c>
      <c r="I251" s="2" t="n">
        <v>43</v>
      </c>
      <c r="J251" s="2" t="n">
        <v>24</v>
      </c>
      <c r="K251" s="2" t="s">
        <v>971</v>
      </c>
      <c r="L251" s="2" t="s">
        <v>105</v>
      </c>
      <c r="M251" s="2" t="n">
        <v>180</v>
      </c>
      <c r="N251" s="3" t="n">
        <v>166176</v>
      </c>
      <c r="O251" s="2"/>
      <c r="P251" s="2" t="n">
        <v>20</v>
      </c>
      <c r="Q251" s="3" t="n">
        <v>718</v>
      </c>
      <c r="R251" s="2" t="n">
        <v>6.52</v>
      </c>
      <c r="S251" s="2" t="n">
        <v>1</v>
      </c>
      <c r="T251" s="2" t="n">
        <v>4</v>
      </c>
      <c r="U251" s="2" t="n">
        <v>0</v>
      </c>
      <c r="V251" s="2"/>
      <c r="W251" s="2"/>
      <c r="X251" s="2" t="n">
        <v>0.5</v>
      </c>
      <c r="Y251" s="2" t="n">
        <v>2.8</v>
      </c>
      <c r="Z251" s="2" t="n">
        <v>0.6</v>
      </c>
      <c r="AA251" s="2" t="n">
        <v>18.2</v>
      </c>
      <c r="AB251" s="2" t="n">
        <v>3</v>
      </c>
      <c r="AC251" s="2" t="n">
        <v>9</v>
      </c>
      <c r="AD251" s="2" t="n">
        <v>1.1</v>
      </c>
      <c r="AE251" s="2"/>
      <c r="AF251" s="2" t="n">
        <v>17.8</v>
      </c>
      <c r="AG251" s="2" t="n">
        <v>79.3</v>
      </c>
      <c r="AH251" s="2" t="n">
        <v>0.9</v>
      </c>
      <c r="AI251" s="2" t="n">
        <v>43.8</v>
      </c>
      <c r="AJ251" s="2" t="n">
        <v>0.6</v>
      </c>
      <c r="AK251" s="2" t="n">
        <v>26.3</v>
      </c>
      <c r="AL251" s="2"/>
      <c r="AM251" s="2"/>
      <c r="AN251" s="2" t="n">
        <v>5.3</v>
      </c>
      <c r="AO251" s="2" t="n">
        <v>2.6</v>
      </c>
      <c r="AP251" s="2" t="n">
        <v>1</v>
      </c>
      <c r="AQ251" s="2" t="n">
        <v>1.4</v>
      </c>
      <c r="AR251" s="2" t="n">
        <v>0.3</v>
      </c>
      <c r="AS251" s="2" t="n">
        <v>5</v>
      </c>
      <c r="AT251" s="2" t="n">
        <v>1</v>
      </c>
      <c r="AU251" s="2" t="n">
        <v>2.4</v>
      </c>
      <c r="AV251" s="2" t="n">
        <v>2.5</v>
      </c>
      <c r="AW251" s="2" t="n">
        <v>1</v>
      </c>
      <c r="AX251" s="2"/>
      <c r="AY251" s="2"/>
      <c r="AZ251" s="2"/>
      <c r="BA251" s="2"/>
      <c r="BB251" s="2"/>
      <c r="BC251" s="2"/>
      <c r="BD251" s="4" t="s">
        <v>972</v>
      </c>
    </row>
    <row r="252" customFormat="false" ht="15" hidden="false" customHeight="false" outlineLevel="0" collapsed="false">
      <c r="A252" s="2" t="n">
        <v>759820</v>
      </c>
      <c r="B252" s="2" t="s">
        <v>973</v>
      </c>
      <c r="C252" s="2" t="s">
        <v>923</v>
      </c>
      <c r="D252" s="2" t="s">
        <v>341</v>
      </c>
      <c r="E252" s="2" t="s">
        <v>59</v>
      </c>
      <c r="F252" s="2" t="s">
        <v>102</v>
      </c>
      <c r="G252" s="2" t="s">
        <v>404</v>
      </c>
      <c r="H252" s="2" t="s">
        <v>404</v>
      </c>
      <c r="I252" s="2" t="n">
        <v>8</v>
      </c>
      <c r="J252" s="2" t="n">
        <v>28</v>
      </c>
      <c r="K252" s="2" t="s">
        <v>974</v>
      </c>
      <c r="L252" s="2" t="s">
        <v>67</v>
      </c>
      <c r="M252" s="2" t="n">
        <v>173</v>
      </c>
      <c r="N252" s="3" t="n">
        <v>94200</v>
      </c>
      <c r="O252" s="2"/>
      <c r="P252" s="2" t="n">
        <v>8</v>
      </c>
      <c r="Q252" s="3" t="n">
        <v>557</v>
      </c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 t="n">
        <v>6</v>
      </c>
      <c r="AD252" s="2" t="n">
        <v>1</v>
      </c>
      <c r="AE252" s="2" t="n">
        <v>2</v>
      </c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 t="n">
        <v>2</v>
      </c>
      <c r="AX252" s="2"/>
      <c r="AY252" s="2"/>
      <c r="AZ252" s="2"/>
      <c r="BA252" s="2"/>
      <c r="BB252" s="2"/>
      <c r="BC252" s="2"/>
      <c r="BD252" s="4" t="s">
        <v>975</v>
      </c>
    </row>
    <row r="253" customFormat="false" ht="15" hidden="false" customHeight="false" outlineLevel="0" collapsed="false">
      <c r="A253" s="2" t="n">
        <v>1368334</v>
      </c>
      <c r="B253" s="2" t="s">
        <v>976</v>
      </c>
      <c r="C253" s="2" t="s">
        <v>923</v>
      </c>
      <c r="D253" s="2" t="s">
        <v>341</v>
      </c>
      <c r="E253" s="2" t="s">
        <v>59</v>
      </c>
      <c r="F253" s="2" t="s">
        <v>102</v>
      </c>
      <c r="G253" s="2" t="s">
        <v>113</v>
      </c>
      <c r="H253" s="2" t="s">
        <v>489</v>
      </c>
      <c r="I253" s="2" t="n">
        <v>17</v>
      </c>
      <c r="J253" s="2" t="n">
        <v>23</v>
      </c>
      <c r="K253" s="2" t="s">
        <v>977</v>
      </c>
      <c r="L253" s="2" t="s">
        <v>67</v>
      </c>
      <c r="M253" s="2" t="n">
        <v>185</v>
      </c>
      <c r="N253" s="3" t="n">
        <v>53098</v>
      </c>
      <c r="O253" s="2"/>
      <c r="P253" s="2" t="n">
        <v>12</v>
      </c>
      <c r="Q253" s="3" t="n">
        <v>342</v>
      </c>
      <c r="R253" s="2"/>
      <c r="S253" s="2"/>
      <c r="T253" s="2"/>
      <c r="U253" s="2"/>
      <c r="V253" s="2" t="n">
        <v>1</v>
      </c>
      <c r="W253" s="2"/>
      <c r="X253" s="2"/>
      <c r="Y253" s="2"/>
      <c r="Z253" s="2"/>
      <c r="AA253" s="2"/>
      <c r="AB253" s="2" t="n">
        <v>2</v>
      </c>
      <c r="AC253" s="2" t="n">
        <v>5</v>
      </c>
      <c r="AD253" s="2" t="n">
        <v>1.3</v>
      </c>
      <c r="AE253" s="2" t="n">
        <v>2</v>
      </c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 t="n">
        <v>1</v>
      </c>
      <c r="AX253" s="2"/>
      <c r="AY253" s="2"/>
      <c r="AZ253" s="2"/>
      <c r="BA253" s="2"/>
      <c r="BB253" s="2"/>
      <c r="BC253" s="2"/>
      <c r="BD253" s="4" t="s">
        <v>978</v>
      </c>
    </row>
    <row r="254" customFormat="false" ht="15" hidden="false" customHeight="false" outlineLevel="0" collapsed="false">
      <c r="A254" s="2" t="n">
        <v>1174821</v>
      </c>
      <c r="B254" s="2" t="s">
        <v>979</v>
      </c>
      <c r="C254" s="2" t="s">
        <v>923</v>
      </c>
      <c r="D254" s="2" t="s">
        <v>341</v>
      </c>
      <c r="E254" s="2" t="s">
        <v>59</v>
      </c>
      <c r="F254" s="2" t="s">
        <v>102</v>
      </c>
      <c r="G254" s="2" t="s">
        <v>138</v>
      </c>
      <c r="H254" s="2" t="s">
        <v>138</v>
      </c>
      <c r="I254" s="2" t="n">
        <v>10</v>
      </c>
      <c r="J254" s="2" t="n">
        <v>22</v>
      </c>
      <c r="K254" s="2" t="s">
        <v>980</v>
      </c>
      <c r="L254" s="2" t="s">
        <v>569</v>
      </c>
      <c r="M254" s="2" t="n">
        <v>168</v>
      </c>
      <c r="N254" s="3" t="n">
        <v>84233</v>
      </c>
      <c r="O254" s="2"/>
      <c r="P254" s="2" t="n">
        <v>2</v>
      </c>
      <c r="Q254" s="3" t="n">
        <v>22</v>
      </c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 t="n">
        <v>1</v>
      </c>
      <c r="AD254" s="2" t="n">
        <v>4.1</v>
      </c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4" t="s">
        <v>981</v>
      </c>
    </row>
    <row r="255" customFormat="false" ht="15" hidden="false" customHeight="false" outlineLevel="0" collapsed="false">
      <c r="A255" s="2" t="n">
        <v>1308379</v>
      </c>
      <c r="B255" s="2" t="s">
        <v>982</v>
      </c>
      <c r="C255" s="2" t="s">
        <v>923</v>
      </c>
      <c r="D255" s="2" t="s">
        <v>341</v>
      </c>
      <c r="E255" s="2" t="s">
        <v>59</v>
      </c>
      <c r="F255" s="2" t="s">
        <v>137</v>
      </c>
      <c r="G255" s="2" t="s">
        <v>133</v>
      </c>
      <c r="H255" s="2" t="s">
        <v>983</v>
      </c>
      <c r="I255" s="2" t="n">
        <v>11</v>
      </c>
      <c r="J255" s="2" t="n">
        <v>28</v>
      </c>
      <c r="K255" s="2" t="s">
        <v>250</v>
      </c>
      <c r="L255" s="2" t="s">
        <v>346</v>
      </c>
      <c r="M255" s="2" t="n">
        <v>175</v>
      </c>
      <c r="N255" s="3" t="n">
        <v>66495</v>
      </c>
      <c r="O255" s="2"/>
      <c r="P255" s="2" t="n">
        <v>25</v>
      </c>
      <c r="Q255" s="3" t="n">
        <v>2128</v>
      </c>
      <c r="R255" s="2" t="n">
        <v>7.22</v>
      </c>
      <c r="S255" s="2" t="n">
        <v>5</v>
      </c>
      <c r="T255" s="2" t="n">
        <v>2</v>
      </c>
      <c r="U255" s="2" t="n">
        <v>0</v>
      </c>
      <c r="V255" s="2" t="n">
        <v>6</v>
      </c>
      <c r="W255" s="2"/>
      <c r="X255" s="2" t="n">
        <v>0.08</v>
      </c>
      <c r="Y255" s="2" t="n">
        <v>1.8</v>
      </c>
      <c r="Z255" s="2" t="n">
        <v>0.6</v>
      </c>
      <c r="AA255" s="2" t="n">
        <v>4.7</v>
      </c>
      <c r="AB255" s="2" t="n">
        <v>6</v>
      </c>
      <c r="AC255" s="2" t="n">
        <v>28</v>
      </c>
      <c r="AD255" s="2" t="n">
        <v>1.2</v>
      </c>
      <c r="AE255" s="2" t="n">
        <v>4</v>
      </c>
      <c r="AF255" s="2" t="n">
        <v>38.5</v>
      </c>
      <c r="AG255" s="2" t="n">
        <v>89.3</v>
      </c>
      <c r="AH255" s="2" t="n">
        <v>2.7</v>
      </c>
      <c r="AI255" s="2" t="n">
        <v>71.6</v>
      </c>
      <c r="AJ255" s="2" t="n">
        <v>1.3</v>
      </c>
      <c r="AK255" s="2" t="n">
        <v>45.6</v>
      </c>
      <c r="AL255" s="2"/>
      <c r="AM255" s="2"/>
      <c r="AN255" s="2" t="n">
        <v>2.8</v>
      </c>
      <c r="AO255" s="2" t="n">
        <v>1.1</v>
      </c>
      <c r="AP255" s="2" t="n">
        <v>0.8</v>
      </c>
      <c r="AQ255" s="2" t="n">
        <v>0.8</v>
      </c>
      <c r="AR255" s="2" t="n">
        <v>0.1</v>
      </c>
      <c r="AS255" s="2" t="n">
        <v>4.5</v>
      </c>
      <c r="AT255" s="2" t="n">
        <v>0.9</v>
      </c>
      <c r="AU255" s="2" t="n">
        <v>2.5</v>
      </c>
      <c r="AV255" s="2" t="n">
        <v>0.9</v>
      </c>
      <c r="AW255" s="2" t="n">
        <v>2</v>
      </c>
      <c r="AX255" s="2"/>
      <c r="AY255" s="2"/>
      <c r="AZ255" s="2"/>
      <c r="BA255" s="2"/>
      <c r="BB255" s="2"/>
      <c r="BC255" s="2"/>
      <c r="BD255" s="4" t="s">
        <v>984</v>
      </c>
    </row>
    <row r="256" customFormat="false" ht="15" hidden="false" customHeight="false" outlineLevel="0" collapsed="false">
      <c r="A256" s="2" t="n">
        <v>1253163</v>
      </c>
      <c r="B256" s="2" t="s">
        <v>985</v>
      </c>
      <c r="C256" s="2" t="s">
        <v>923</v>
      </c>
      <c r="D256" s="2" t="s">
        <v>341</v>
      </c>
      <c r="E256" s="2" t="s">
        <v>59</v>
      </c>
      <c r="F256" s="2" t="s">
        <v>137</v>
      </c>
      <c r="G256" s="2" t="s">
        <v>147</v>
      </c>
      <c r="H256" s="2" t="s">
        <v>615</v>
      </c>
      <c r="I256" s="2" t="n">
        <v>14</v>
      </c>
      <c r="J256" s="2" t="n">
        <v>28</v>
      </c>
      <c r="K256" s="2" t="s">
        <v>986</v>
      </c>
      <c r="L256" s="2" t="s">
        <v>67</v>
      </c>
      <c r="M256" s="2" t="n">
        <v>183</v>
      </c>
      <c r="N256" s="3" t="n">
        <v>88381</v>
      </c>
      <c r="O256" s="2"/>
      <c r="P256" s="2" t="n">
        <v>25</v>
      </c>
      <c r="Q256" s="3" t="n">
        <v>2095</v>
      </c>
      <c r="R256" s="2" t="n">
        <v>7</v>
      </c>
      <c r="S256" s="2" t="n">
        <v>0</v>
      </c>
      <c r="T256" s="2" t="n">
        <v>12</v>
      </c>
      <c r="U256" s="2" t="n">
        <v>1</v>
      </c>
      <c r="V256" s="2" t="n">
        <v>1</v>
      </c>
      <c r="W256" s="2"/>
      <c r="X256" s="2" t="n">
        <v>0.52</v>
      </c>
      <c r="Y256" s="2" t="n">
        <v>3</v>
      </c>
      <c r="Z256" s="2" t="n">
        <v>0.9</v>
      </c>
      <c r="AA256" s="2" t="n">
        <v>17.4</v>
      </c>
      <c r="AB256" s="2" t="n">
        <v>5</v>
      </c>
      <c r="AC256" s="2" t="n">
        <v>19</v>
      </c>
      <c r="AD256" s="2" t="n">
        <v>0.8</v>
      </c>
      <c r="AE256" s="2" t="n">
        <v>3</v>
      </c>
      <c r="AF256" s="2" t="n">
        <v>15.9</v>
      </c>
      <c r="AG256" s="2" t="n">
        <v>77.8</v>
      </c>
      <c r="AH256" s="2" t="n">
        <v>0.9</v>
      </c>
      <c r="AI256" s="2" t="n">
        <v>66.7</v>
      </c>
      <c r="AJ256" s="2" t="n">
        <v>0.4</v>
      </c>
      <c r="AK256" s="2" t="n">
        <v>39.1</v>
      </c>
      <c r="AL256" s="2"/>
      <c r="AM256" s="2"/>
      <c r="AN256" s="2" t="n">
        <v>2.1</v>
      </c>
      <c r="AO256" s="2" t="n">
        <v>0.7</v>
      </c>
      <c r="AP256" s="2" t="n">
        <v>0.5</v>
      </c>
      <c r="AQ256" s="2" t="n">
        <v>0.8</v>
      </c>
      <c r="AR256" s="2" t="n">
        <v>0.1</v>
      </c>
      <c r="AS256" s="2" t="n">
        <v>1.5</v>
      </c>
      <c r="AT256" s="2" t="n">
        <v>0.4</v>
      </c>
      <c r="AU256" s="2" t="n">
        <v>0.6</v>
      </c>
      <c r="AV256" s="2" t="n">
        <v>2</v>
      </c>
      <c r="AW256" s="2" t="n">
        <v>5</v>
      </c>
      <c r="AX256" s="2"/>
      <c r="AY256" s="2"/>
      <c r="AZ256" s="2"/>
      <c r="BA256" s="2"/>
      <c r="BB256" s="2"/>
      <c r="BC256" s="2"/>
      <c r="BD256" s="4" t="s">
        <v>987</v>
      </c>
    </row>
    <row r="257" customFormat="false" ht="15" hidden="false" customHeight="false" outlineLevel="0" collapsed="false">
      <c r="A257" s="2" t="n">
        <v>521306</v>
      </c>
      <c r="B257" s="2" t="s">
        <v>988</v>
      </c>
      <c r="C257" s="2" t="s">
        <v>923</v>
      </c>
      <c r="D257" s="2" t="s">
        <v>341</v>
      </c>
      <c r="E257" s="2" t="s">
        <v>59</v>
      </c>
      <c r="F257" s="2" t="s">
        <v>137</v>
      </c>
      <c r="G257" s="2" t="s">
        <v>147</v>
      </c>
      <c r="H257" s="2" t="s">
        <v>989</v>
      </c>
      <c r="I257" s="2" t="n">
        <v>25</v>
      </c>
      <c r="J257" s="2" t="n">
        <v>30</v>
      </c>
      <c r="K257" s="2" t="s">
        <v>990</v>
      </c>
      <c r="L257" s="2" t="s">
        <v>991</v>
      </c>
      <c r="M257" s="2" t="n">
        <v>175</v>
      </c>
      <c r="N257" s="3" t="n">
        <v>50000</v>
      </c>
      <c r="O257" s="2"/>
      <c r="P257" s="2" t="n">
        <v>19</v>
      </c>
      <c r="Q257" s="3" t="n">
        <v>1339</v>
      </c>
      <c r="R257" s="2" t="n">
        <v>6.97</v>
      </c>
      <c r="S257" s="2" t="n">
        <v>1</v>
      </c>
      <c r="T257" s="2" t="n">
        <v>8</v>
      </c>
      <c r="U257" s="2" t="n">
        <v>0</v>
      </c>
      <c r="V257" s="2" t="n">
        <v>1</v>
      </c>
      <c r="W257" s="2"/>
      <c r="X257" s="2" t="n">
        <v>0.54</v>
      </c>
      <c r="Y257" s="2" t="n">
        <v>2.4</v>
      </c>
      <c r="Z257" s="2" t="n">
        <v>1</v>
      </c>
      <c r="AA257" s="2" t="n">
        <v>22.2</v>
      </c>
      <c r="AB257" s="2" t="n">
        <v>7</v>
      </c>
      <c r="AC257" s="2" t="n">
        <v>12</v>
      </c>
      <c r="AD257" s="2" t="n">
        <v>0.8</v>
      </c>
      <c r="AE257" s="2" t="n">
        <v>3</v>
      </c>
      <c r="AF257" s="2" t="n">
        <v>9.1</v>
      </c>
      <c r="AG257" s="2" t="n">
        <v>73</v>
      </c>
      <c r="AH257" s="2" t="n">
        <v>0.3</v>
      </c>
      <c r="AI257" s="2" t="n">
        <v>35.7</v>
      </c>
      <c r="AJ257" s="2" t="n">
        <v>0.8</v>
      </c>
      <c r="AK257" s="2" t="n">
        <v>32.4</v>
      </c>
      <c r="AL257" s="2" t="n">
        <v>1</v>
      </c>
      <c r="AM257" s="2" t="n">
        <v>1.7</v>
      </c>
      <c r="AN257" s="2" t="n">
        <v>1.5</v>
      </c>
      <c r="AO257" s="2" t="n">
        <v>0.6</v>
      </c>
      <c r="AP257" s="2" t="n">
        <v>0.5</v>
      </c>
      <c r="AQ257" s="2" t="n">
        <v>0.2</v>
      </c>
      <c r="AR257" s="2" t="n">
        <v>0.2</v>
      </c>
      <c r="AS257" s="2" t="n">
        <v>1.9</v>
      </c>
      <c r="AT257" s="2" t="n">
        <v>0.3</v>
      </c>
      <c r="AU257" s="2" t="n">
        <v>0.9</v>
      </c>
      <c r="AV257" s="2" t="n">
        <v>1.7</v>
      </c>
      <c r="AW257" s="2" t="n">
        <v>4</v>
      </c>
      <c r="AX257" s="2"/>
      <c r="AY257" s="2"/>
      <c r="AZ257" s="2"/>
      <c r="BA257" s="2"/>
      <c r="BB257" s="2"/>
      <c r="BC257" s="2"/>
      <c r="BD257" s="4" t="s">
        <v>992</v>
      </c>
    </row>
    <row r="258" customFormat="false" ht="15" hidden="false" customHeight="false" outlineLevel="0" collapsed="false">
      <c r="A258" s="2" t="n">
        <v>242923</v>
      </c>
      <c r="B258" s="2" t="s">
        <v>993</v>
      </c>
      <c r="C258" s="2" t="s">
        <v>923</v>
      </c>
      <c r="D258" s="2" t="s">
        <v>341</v>
      </c>
      <c r="E258" s="2" t="s">
        <v>59</v>
      </c>
      <c r="F258" s="2" t="s">
        <v>137</v>
      </c>
      <c r="G258" s="2" t="s">
        <v>147</v>
      </c>
      <c r="H258" s="2" t="s">
        <v>147</v>
      </c>
      <c r="I258" s="2" t="n">
        <v>9</v>
      </c>
      <c r="J258" s="2" t="n">
        <v>32</v>
      </c>
      <c r="K258" s="2" t="s">
        <v>994</v>
      </c>
      <c r="L258" s="2" t="s">
        <v>995</v>
      </c>
      <c r="M258" s="2" t="n">
        <v>183</v>
      </c>
      <c r="N258" s="3" t="n">
        <v>84177</v>
      </c>
      <c r="O258" s="2"/>
      <c r="P258" s="2" t="n">
        <v>23</v>
      </c>
      <c r="Q258" s="3" t="n">
        <v>918</v>
      </c>
      <c r="R258" s="2" t="n">
        <v>6.45</v>
      </c>
      <c r="S258" s="2" t="n">
        <v>0</v>
      </c>
      <c r="T258" s="2" t="n">
        <v>2</v>
      </c>
      <c r="U258" s="2" t="n">
        <v>0</v>
      </c>
      <c r="V258" s="2" t="n">
        <v>1</v>
      </c>
      <c r="W258" s="2"/>
      <c r="X258" s="2" t="n">
        <v>0.2</v>
      </c>
      <c r="Y258" s="2" t="n">
        <v>3.1</v>
      </c>
      <c r="Z258" s="2" t="n">
        <v>1.2</v>
      </c>
      <c r="AA258" s="2" t="n">
        <v>6.3</v>
      </c>
      <c r="AB258" s="2" t="n">
        <v>6</v>
      </c>
      <c r="AC258" s="2" t="n">
        <v>10</v>
      </c>
      <c r="AD258" s="2" t="n">
        <v>1</v>
      </c>
      <c r="AE258" s="2" t="n">
        <v>1</v>
      </c>
      <c r="AF258" s="2" t="n">
        <v>15.9</v>
      </c>
      <c r="AG258" s="2" t="n">
        <v>76.8</v>
      </c>
      <c r="AH258" s="2" t="n">
        <v>0.6</v>
      </c>
      <c r="AI258" s="2" t="n">
        <v>60</v>
      </c>
      <c r="AJ258" s="2" t="n">
        <v>0.4</v>
      </c>
      <c r="AK258" s="2" t="n">
        <v>40</v>
      </c>
      <c r="AL258" s="2" t="n">
        <v>1</v>
      </c>
      <c r="AM258" s="2" t="n">
        <v>2</v>
      </c>
      <c r="AN258" s="2" t="n">
        <v>1.9</v>
      </c>
      <c r="AO258" s="2" t="n">
        <v>1</v>
      </c>
      <c r="AP258" s="2" t="n">
        <v>0.3</v>
      </c>
      <c r="AQ258" s="2" t="n">
        <v>0.4</v>
      </c>
      <c r="AR258" s="2" t="n">
        <v>0.2</v>
      </c>
      <c r="AS258" s="2" t="n">
        <v>2.3</v>
      </c>
      <c r="AT258" s="2" t="n">
        <v>0.7</v>
      </c>
      <c r="AU258" s="2" t="n">
        <v>1.4</v>
      </c>
      <c r="AV258" s="2" t="n">
        <v>2</v>
      </c>
      <c r="AW258" s="2" t="n">
        <v>4</v>
      </c>
      <c r="AX258" s="2"/>
      <c r="AY258" s="2"/>
      <c r="AZ258" s="2"/>
      <c r="BA258" s="2"/>
      <c r="BB258" s="2"/>
      <c r="BC258" s="2"/>
      <c r="BD258" s="4" t="s">
        <v>996</v>
      </c>
    </row>
    <row r="259" customFormat="false" ht="15" hidden="false" customHeight="false" outlineLevel="0" collapsed="false">
      <c r="A259" s="2" t="n">
        <v>1448069</v>
      </c>
      <c r="B259" s="2" t="s">
        <v>997</v>
      </c>
      <c r="C259" s="2" t="s">
        <v>998</v>
      </c>
      <c r="D259" s="2" t="s">
        <v>341</v>
      </c>
      <c r="E259" s="2" t="s">
        <v>59</v>
      </c>
      <c r="F259" s="2" t="s">
        <v>60</v>
      </c>
      <c r="G259" s="2" t="s">
        <v>61</v>
      </c>
      <c r="H259" s="2" t="s">
        <v>61</v>
      </c>
      <c r="I259" s="2" t="n">
        <v>17</v>
      </c>
      <c r="J259" s="2" t="n">
        <v>28</v>
      </c>
      <c r="K259" s="2" t="s">
        <v>999</v>
      </c>
      <c r="L259" s="2" t="s">
        <v>1000</v>
      </c>
      <c r="M259" s="2" t="n">
        <v>193</v>
      </c>
      <c r="N259" s="3" t="n">
        <v>97968</v>
      </c>
      <c r="O259" s="2"/>
      <c r="P259" s="2" t="n">
        <v>26</v>
      </c>
      <c r="Q259" s="3" t="n">
        <v>2340</v>
      </c>
      <c r="R259" s="2" t="n">
        <v>6.73</v>
      </c>
      <c r="S259" s="2" t="n">
        <v>0</v>
      </c>
      <c r="T259" s="2"/>
      <c r="U259" s="2"/>
      <c r="V259" s="2"/>
      <c r="W259" s="2"/>
      <c r="X259" s="2"/>
      <c r="Y259" s="2"/>
      <c r="Z259" s="2"/>
      <c r="AA259" s="2"/>
      <c r="AB259" s="2"/>
      <c r="AC259" s="2" t="n">
        <v>3</v>
      </c>
      <c r="AD259" s="2" t="n">
        <v>0.1</v>
      </c>
      <c r="AE259" s="2"/>
      <c r="AF259" s="2" t="n">
        <v>23.9</v>
      </c>
      <c r="AG259" s="2" t="n">
        <v>79.2</v>
      </c>
      <c r="AH259" s="2"/>
      <c r="AI259" s="2"/>
      <c r="AJ259" s="2" t="n">
        <v>0</v>
      </c>
      <c r="AK259" s="2" t="n">
        <v>100</v>
      </c>
      <c r="AL259" s="2"/>
      <c r="AM259" s="2"/>
      <c r="AN259" s="2" t="n">
        <v>0.8</v>
      </c>
      <c r="AO259" s="2" t="n">
        <v>0</v>
      </c>
      <c r="AP259" s="2"/>
      <c r="AQ259" s="2" t="n">
        <v>0.8</v>
      </c>
      <c r="AR259" s="2"/>
      <c r="AS259" s="2" t="n">
        <v>6.3</v>
      </c>
      <c r="AT259" s="2"/>
      <c r="AU259" s="2"/>
      <c r="AV259" s="2"/>
      <c r="AW259" s="2" t="n">
        <v>2</v>
      </c>
      <c r="AX259" s="2"/>
      <c r="AY259" s="2"/>
      <c r="AZ259" s="2" t="n">
        <v>9</v>
      </c>
      <c r="BA259" s="2" t="n">
        <v>2.3</v>
      </c>
      <c r="BB259" s="2" t="n">
        <v>65.2</v>
      </c>
      <c r="BC259" s="2" t="n">
        <v>1.2</v>
      </c>
      <c r="BD259" s="4" t="s">
        <v>1001</v>
      </c>
    </row>
    <row r="260" customFormat="false" ht="15" hidden="false" customHeight="false" outlineLevel="0" collapsed="false">
      <c r="A260" s="2" t="n">
        <v>838225</v>
      </c>
      <c r="B260" s="2" t="s">
        <v>1002</v>
      </c>
      <c r="C260" s="2" t="s">
        <v>998</v>
      </c>
      <c r="D260" s="2" t="s">
        <v>341</v>
      </c>
      <c r="E260" s="2" t="s">
        <v>59</v>
      </c>
      <c r="F260" s="2" t="s">
        <v>60</v>
      </c>
      <c r="G260" s="2" t="s">
        <v>61</v>
      </c>
      <c r="H260" s="2" t="s">
        <v>61</v>
      </c>
      <c r="I260" s="2" t="n">
        <v>1</v>
      </c>
      <c r="J260" s="2" t="n">
        <v>32</v>
      </c>
      <c r="K260" s="2" t="s">
        <v>1003</v>
      </c>
      <c r="L260" s="2" t="s">
        <v>67</v>
      </c>
      <c r="M260" s="2" t="n">
        <v>191</v>
      </c>
      <c r="N260" s="3" t="n">
        <v>50000</v>
      </c>
      <c r="O260" s="2"/>
      <c r="P260" s="2"/>
      <c r="Q260" s="3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4" t="s">
        <v>1004</v>
      </c>
    </row>
    <row r="261" customFormat="false" ht="15" hidden="false" customHeight="false" outlineLevel="0" collapsed="false">
      <c r="A261" s="2" t="n">
        <v>1083232</v>
      </c>
      <c r="B261" s="2" t="s">
        <v>1005</v>
      </c>
      <c r="C261" s="2" t="s">
        <v>998</v>
      </c>
      <c r="D261" s="2" t="s">
        <v>341</v>
      </c>
      <c r="E261" s="2" t="s">
        <v>59</v>
      </c>
      <c r="F261" s="2" t="s">
        <v>60</v>
      </c>
      <c r="G261" s="2" t="s">
        <v>61</v>
      </c>
      <c r="H261" s="2" t="s">
        <v>61</v>
      </c>
      <c r="I261" s="2" t="n">
        <v>31</v>
      </c>
      <c r="J261" s="2" t="n">
        <v>24</v>
      </c>
      <c r="K261" s="2" t="s">
        <v>1006</v>
      </c>
      <c r="L261" s="2" t="s">
        <v>67</v>
      </c>
      <c r="M261" s="2" t="n">
        <v>193</v>
      </c>
      <c r="N261" s="3" t="n">
        <v>96760</v>
      </c>
      <c r="O261" s="2"/>
      <c r="P261" s="2"/>
      <c r="Q261" s="3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4" t="s">
        <v>1007</v>
      </c>
    </row>
    <row r="262" customFormat="false" ht="15" hidden="false" customHeight="false" outlineLevel="0" collapsed="false">
      <c r="A262" s="2" t="n">
        <v>1921045</v>
      </c>
      <c r="B262" s="2" t="s">
        <v>1008</v>
      </c>
      <c r="C262" s="2" t="s">
        <v>998</v>
      </c>
      <c r="D262" s="2" t="s">
        <v>341</v>
      </c>
      <c r="E262" s="2" t="s">
        <v>59</v>
      </c>
      <c r="F262" s="2" t="s">
        <v>60</v>
      </c>
      <c r="G262" s="2"/>
      <c r="H262" s="2"/>
      <c r="I262" s="2" t="n">
        <v>40</v>
      </c>
      <c r="J262" s="2" t="n">
        <v>18</v>
      </c>
      <c r="K262" s="2" t="s">
        <v>1009</v>
      </c>
      <c r="L262" s="2" t="s">
        <v>67</v>
      </c>
      <c r="M262" s="2" t="n">
        <v>185</v>
      </c>
      <c r="N262" s="3"/>
      <c r="O262" s="2"/>
      <c r="P262" s="2"/>
      <c r="Q262" s="3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4" t="s">
        <v>1010</v>
      </c>
    </row>
    <row r="263" customFormat="false" ht="15" hidden="false" customHeight="false" outlineLevel="0" collapsed="false">
      <c r="A263" s="2" t="n">
        <v>1338616</v>
      </c>
      <c r="B263" s="2" t="s">
        <v>1011</v>
      </c>
      <c r="C263" s="2" t="s">
        <v>998</v>
      </c>
      <c r="D263" s="2" t="s">
        <v>341</v>
      </c>
      <c r="E263" s="2" t="s">
        <v>59</v>
      </c>
      <c r="F263" s="2" t="s">
        <v>70</v>
      </c>
      <c r="G263" s="2" t="s">
        <v>75</v>
      </c>
      <c r="H263" s="2" t="s">
        <v>75</v>
      </c>
      <c r="I263" s="2" t="n">
        <v>5</v>
      </c>
      <c r="J263" s="2" t="n">
        <v>26</v>
      </c>
      <c r="K263" s="2" t="s">
        <v>1012</v>
      </c>
      <c r="L263" s="2" t="s">
        <v>67</v>
      </c>
      <c r="M263" s="2" t="n">
        <v>188</v>
      </c>
      <c r="N263" s="3" t="n">
        <v>85192</v>
      </c>
      <c r="O263" s="2"/>
      <c r="P263" s="2" t="n">
        <v>24</v>
      </c>
      <c r="Q263" s="3" t="n">
        <v>2108</v>
      </c>
      <c r="R263" s="2" t="n">
        <v>6.76</v>
      </c>
      <c r="S263" s="2" t="n">
        <v>0</v>
      </c>
      <c r="T263" s="2"/>
      <c r="U263" s="2"/>
      <c r="V263" s="2"/>
      <c r="W263" s="2"/>
      <c r="X263" s="2"/>
      <c r="Y263" s="2" t="n">
        <v>0.3</v>
      </c>
      <c r="Z263" s="2" t="n">
        <v>0</v>
      </c>
      <c r="AA263" s="2" t="n">
        <v>0</v>
      </c>
      <c r="AB263" s="2" t="n">
        <v>1</v>
      </c>
      <c r="AC263" s="2" t="n">
        <v>1</v>
      </c>
      <c r="AD263" s="2" t="n">
        <v>0</v>
      </c>
      <c r="AE263" s="2"/>
      <c r="AF263" s="2" t="n">
        <v>40.4</v>
      </c>
      <c r="AG263" s="2" t="n">
        <v>85.8</v>
      </c>
      <c r="AH263" s="2" t="n">
        <v>2.4</v>
      </c>
      <c r="AI263" s="2" t="n">
        <v>42.5</v>
      </c>
      <c r="AJ263" s="2"/>
      <c r="AK263" s="2"/>
      <c r="AL263" s="2"/>
      <c r="AM263" s="2"/>
      <c r="AN263" s="2" t="n">
        <v>7</v>
      </c>
      <c r="AO263" s="2" t="n">
        <v>0.7</v>
      </c>
      <c r="AP263" s="2" t="n">
        <v>0.7</v>
      </c>
      <c r="AQ263" s="2" t="n">
        <v>5.1</v>
      </c>
      <c r="AR263" s="2" t="n">
        <v>0.5</v>
      </c>
      <c r="AS263" s="2" t="n">
        <v>2.9</v>
      </c>
      <c r="AT263" s="2" t="n">
        <v>0.1</v>
      </c>
      <c r="AU263" s="2" t="n">
        <v>1.1</v>
      </c>
      <c r="AV263" s="2" t="n">
        <v>0.8</v>
      </c>
      <c r="AW263" s="2" t="n">
        <v>3</v>
      </c>
      <c r="AX263" s="2"/>
      <c r="AY263" s="2"/>
      <c r="AZ263" s="2"/>
      <c r="BA263" s="2"/>
      <c r="BB263" s="2"/>
      <c r="BC263" s="2"/>
      <c r="BD263" s="4" t="s">
        <v>1013</v>
      </c>
    </row>
    <row r="264" customFormat="false" ht="15" hidden="false" customHeight="false" outlineLevel="0" collapsed="false">
      <c r="A264" s="2" t="n">
        <v>1190665</v>
      </c>
      <c r="B264" s="2" t="s">
        <v>1014</v>
      </c>
      <c r="C264" s="2" t="s">
        <v>998</v>
      </c>
      <c r="D264" s="2" t="s">
        <v>341</v>
      </c>
      <c r="E264" s="2" t="s">
        <v>59</v>
      </c>
      <c r="F264" s="2" t="s">
        <v>70</v>
      </c>
      <c r="G264" s="2" t="s">
        <v>71</v>
      </c>
      <c r="H264" s="2" t="s">
        <v>1015</v>
      </c>
      <c r="I264" s="2" t="n">
        <v>2</v>
      </c>
      <c r="J264" s="2" t="n">
        <v>23</v>
      </c>
      <c r="K264" s="2" t="s">
        <v>1016</v>
      </c>
      <c r="L264" s="2" t="s">
        <v>861</v>
      </c>
      <c r="M264" s="2" t="n">
        <v>173</v>
      </c>
      <c r="N264" s="3" t="n">
        <v>99450</v>
      </c>
      <c r="O264" s="2"/>
      <c r="P264" s="2" t="n">
        <v>23</v>
      </c>
      <c r="Q264" s="3" t="n">
        <v>1912</v>
      </c>
      <c r="R264" s="2" t="n">
        <v>6.78</v>
      </c>
      <c r="S264" s="2" t="n">
        <v>0</v>
      </c>
      <c r="T264" s="2" t="n">
        <v>1</v>
      </c>
      <c r="U264" s="2" t="n">
        <v>0</v>
      </c>
      <c r="V264" s="2" t="n">
        <v>1</v>
      </c>
      <c r="W264" s="2"/>
      <c r="X264" s="2" t="n">
        <v>0.05</v>
      </c>
      <c r="Y264" s="2" t="n">
        <v>0.6</v>
      </c>
      <c r="Z264" s="2" t="n">
        <v>0.1</v>
      </c>
      <c r="AA264" s="2" t="n">
        <v>8.3</v>
      </c>
      <c r="AB264" s="2" t="n">
        <v>2</v>
      </c>
      <c r="AC264" s="2" t="n">
        <v>14</v>
      </c>
      <c r="AD264" s="2" t="n">
        <v>0.7</v>
      </c>
      <c r="AE264" s="2" t="n">
        <v>3</v>
      </c>
      <c r="AF264" s="2" t="n">
        <v>31.5</v>
      </c>
      <c r="AG264" s="2" t="n">
        <v>85.3</v>
      </c>
      <c r="AH264" s="2" t="n">
        <v>1</v>
      </c>
      <c r="AI264" s="2" t="n">
        <v>38.6</v>
      </c>
      <c r="AJ264" s="2" t="n">
        <v>0.4</v>
      </c>
      <c r="AK264" s="2" t="n">
        <v>42.9</v>
      </c>
      <c r="AL264" s="2"/>
      <c r="AM264" s="2"/>
      <c r="AN264" s="2" t="n">
        <v>4.5</v>
      </c>
      <c r="AO264" s="2" t="n">
        <v>1.4</v>
      </c>
      <c r="AP264" s="2" t="n">
        <v>1</v>
      </c>
      <c r="AQ264" s="2" t="n">
        <v>1.6</v>
      </c>
      <c r="AR264" s="2" t="n">
        <v>0.4</v>
      </c>
      <c r="AS264" s="2" t="n">
        <v>3</v>
      </c>
      <c r="AT264" s="2" t="n">
        <v>0.1</v>
      </c>
      <c r="AU264" s="2" t="n">
        <v>1.2</v>
      </c>
      <c r="AV264" s="2" t="n">
        <v>1.3</v>
      </c>
      <c r="AW264" s="2" t="n">
        <v>5</v>
      </c>
      <c r="AX264" s="2"/>
      <c r="AY264" s="2"/>
      <c r="AZ264" s="2"/>
      <c r="BA264" s="2"/>
      <c r="BB264" s="2"/>
      <c r="BC264" s="2"/>
      <c r="BD264" s="4" t="s">
        <v>1017</v>
      </c>
    </row>
    <row r="265" customFormat="false" ht="15" hidden="false" customHeight="false" outlineLevel="0" collapsed="false">
      <c r="A265" s="2" t="n">
        <v>1440019</v>
      </c>
      <c r="B265" s="2" t="s">
        <v>1018</v>
      </c>
      <c r="C265" s="2" t="s">
        <v>998</v>
      </c>
      <c r="D265" s="2" t="s">
        <v>341</v>
      </c>
      <c r="E265" s="2" t="s">
        <v>59</v>
      </c>
      <c r="F265" s="2" t="s">
        <v>70</v>
      </c>
      <c r="G265" s="2" t="s">
        <v>92</v>
      </c>
      <c r="H265" s="2" t="s">
        <v>476</v>
      </c>
      <c r="I265" s="2" t="n">
        <v>12</v>
      </c>
      <c r="J265" s="2" t="n">
        <v>25</v>
      </c>
      <c r="K265" s="2" t="s">
        <v>1019</v>
      </c>
      <c r="L265" s="2" t="s">
        <v>67</v>
      </c>
      <c r="M265" s="2" t="n">
        <v>183</v>
      </c>
      <c r="N265" s="3" t="n">
        <v>101998</v>
      </c>
      <c r="O265" s="2"/>
      <c r="P265" s="2" t="n">
        <v>24</v>
      </c>
      <c r="Q265" s="3" t="n">
        <v>1890</v>
      </c>
      <c r="R265" s="2" t="n">
        <v>6.97</v>
      </c>
      <c r="S265" s="2" t="n">
        <v>1</v>
      </c>
      <c r="T265" s="2" t="n">
        <v>3</v>
      </c>
      <c r="U265" s="2" t="n">
        <v>0</v>
      </c>
      <c r="V265" s="2" t="n">
        <v>2</v>
      </c>
      <c r="W265" s="2"/>
      <c r="X265" s="2" t="n">
        <v>0.14</v>
      </c>
      <c r="Y265" s="2" t="n">
        <v>0.8</v>
      </c>
      <c r="Z265" s="2" t="n">
        <v>0.2</v>
      </c>
      <c r="AA265" s="2" t="n">
        <v>18.8</v>
      </c>
      <c r="AB265" s="2" t="n">
        <v>5</v>
      </c>
      <c r="AC265" s="2" t="n">
        <v>17</v>
      </c>
      <c r="AD265" s="2" t="n">
        <v>0.8</v>
      </c>
      <c r="AE265" s="2" t="n">
        <v>7</v>
      </c>
      <c r="AF265" s="2" t="n">
        <v>24.2</v>
      </c>
      <c r="AG265" s="2" t="n">
        <v>79.7</v>
      </c>
      <c r="AH265" s="2" t="n">
        <v>0.9</v>
      </c>
      <c r="AI265" s="2" t="n">
        <v>35.8</v>
      </c>
      <c r="AJ265" s="2" t="n">
        <v>0.5</v>
      </c>
      <c r="AK265" s="2" t="n">
        <v>41.7</v>
      </c>
      <c r="AL265" s="2"/>
      <c r="AM265" s="2"/>
      <c r="AN265" s="2" t="n">
        <v>6.7</v>
      </c>
      <c r="AO265" s="2" t="n">
        <v>2</v>
      </c>
      <c r="AP265" s="2" t="n">
        <v>1.6</v>
      </c>
      <c r="AQ265" s="2" t="n">
        <v>2.5</v>
      </c>
      <c r="AR265" s="2" t="n">
        <v>0.6</v>
      </c>
      <c r="AS265" s="2" t="n">
        <v>2.7</v>
      </c>
      <c r="AT265" s="2" t="n">
        <v>0.3</v>
      </c>
      <c r="AU265" s="2" t="n">
        <v>0.9</v>
      </c>
      <c r="AV265" s="2" t="n">
        <v>1.9</v>
      </c>
      <c r="AW265" s="2" t="n">
        <v>4</v>
      </c>
      <c r="AX265" s="2"/>
      <c r="AY265" s="2" t="n">
        <v>1</v>
      </c>
      <c r="AZ265" s="2"/>
      <c r="BA265" s="2"/>
      <c r="BB265" s="2"/>
      <c r="BC265" s="2"/>
      <c r="BD265" s="4" t="s">
        <v>1020</v>
      </c>
    </row>
    <row r="266" customFormat="false" ht="15" hidden="false" customHeight="false" outlineLevel="0" collapsed="false">
      <c r="A266" s="2" t="n">
        <v>876136</v>
      </c>
      <c r="B266" s="2" t="s">
        <v>1021</v>
      </c>
      <c r="C266" s="2" t="s">
        <v>998</v>
      </c>
      <c r="D266" s="2" t="s">
        <v>341</v>
      </c>
      <c r="E266" s="2" t="s">
        <v>59</v>
      </c>
      <c r="F266" s="2" t="s">
        <v>70</v>
      </c>
      <c r="G266" s="2" t="s">
        <v>75</v>
      </c>
      <c r="H266" s="2" t="s">
        <v>756</v>
      </c>
      <c r="I266" s="2" t="n">
        <v>23</v>
      </c>
      <c r="J266" s="2" t="n">
        <v>27</v>
      </c>
      <c r="K266" s="2" t="s">
        <v>1022</v>
      </c>
      <c r="L266" s="2" t="s">
        <v>85</v>
      </c>
      <c r="M266" s="2" t="n">
        <v>178</v>
      </c>
      <c r="N266" s="3" t="n">
        <v>160892</v>
      </c>
      <c r="O266" s="2"/>
      <c r="P266" s="2" t="n">
        <v>25</v>
      </c>
      <c r="Q266" s="3" t="n">
        <v>1812</v>
      </c>
      <c r="R266" s="2" t="n">
        <v>6.77</v>
      </c>
      <c r="S266" s="2" t="n">
        <v>0</v>
      </c>
      <c r="T266" s="2"/>
      <c r="U266" s="2"/>
      <c r="V266" s="2"/>
      <c r="W266" s="2"/>
      <c r="X266" s="2"/>
      <c r="Y266" s="2" t="n">
        <v>0.4</v>
      </c>
      <c r="Z266" s="2" t="n">
        <v>0.1</v>
      </c>
      <c r="AA266" s="2" t="n">
        <v>0</v>
      </c>
      <c r="AB266" s="2" t="n">
        <v>2</v>
      </c>
      <c r="AC266" s="2" t="n">
        <v>1</v>
      </c>
      <c r="AD266" s="2" t="n">
        <v>0</v>
      </c>
      <c r="AE266" s="2"/>
      <c r="AF266" s="2" t="n">
        <v>45.3</v>
      </c>
      <c r="AG266" s="2" t="n">
        <v>86.4</v>
      </c>
      <c r="AH266" s="2" t="n">
        <v>2.8</v>
      </c>
      <c r="AI266" s="2" t="n">
        <v>40.7</v>
      </c>
      <c r="AJ266" s="2" t="n">
        <v>0</v>
      </c>
      <c r="AK266" s="2" t="n">
        <v>25</v>
      </c>
      <c r="AL266" s="2"/>
      <c r="AM266" s="2"/>
      <c r="AN266" s="2" t="n">
        <v>7.4</v>
      </c>
      <c r="AO266" s="2" t="n">
        <v>0.6</v>
      </c>
      <c r="AP266" s="2" t="n">
        <v>1.2</v>
      </c>
      <c r="AQ266" s="2" t="n">
        <v>5.2</v>
      </c>
      <c r="AR266" s="2" t="n">
        <v>0.3</v>
      </c>
      <c r="AS266" s="2" t="n">
        <v>2.9</v>
      </c>
      <c r="AT266" s="2"/>
      <c r="AU266" s="2"/>
      <c r="AV266" s="2" t="n">
        <v>0.9</v>
      </c>
      <c r="AW266" s="2" t="n">
        <v>2</v>
      </c>
      <c r="AX266" s="2" t="n">
        <v>1</v>
      </c>
      <c r="AY266" s="2"/>
      <c r="AZ266" s="2"/>
      <c r="BA266" s="2"/>
      <c r="BB266" s="2"/>
      <c r="BC266" s="2"/>
      <c r="BD266" s="4" t="s">
        <v>1023</v>
      </c>
    </row>
    <row r="267" customFormat="false" ht="15" hidden="false" customHeight="false" outlineLevel="0" collapsed="false">
      <c r="A267" s="2" t="n">
        <v>1238237</v>
      </c>
      <c r="B267" s="2" t="s">
        <v>1024</v>
      </c>
      <c r="C267" s="2" t="s">
        <v>998</v>
      </c>
      <c r="D267" s="2" t="s">
        <v>341</v>
      </c>
      <c r="E267" s="2" t="s">
        <v>59</v>
      </c>
      <c r="F267" s="2" t="s">
        <v>70</v>
      </c>
      <c r="G267" s="2" t="s">
        <v>92</v>
      </c>
      <c r="H267" s="2" t="s">
        <v>92</v>
      </c>
      <c r="I267" s="2" t="n">
        <v>21</v>
      </c>
      <c r="J267" s="2" t="n">
        <v>24</v>
      </c>
      <c r="K267" s="2" t="s">
        <v>1025</v>
      </c>
      <c r="L267" s="2" t="s">
        <v>110</v>
      </c>
      <c r="M267" s="2" t="n">
        <v>185</v>
      </c>
      <c r="N267" s="3"/>
      <c r="O267" s="2"/>
      <c r="P267" s="2" t="n">
        <v>4</v>
      </c>
      <c r="Q267" s="3" t="n">
        <v>120</v>
      </c>
      <c r="R267" s="2"/>
      <c r="S267" s="2"/>
      <c r="T267" s="2" t="n">
        <v>1</v>
      </c>
      <c r="U267" s="2" t="n">
        <v>0</v>
      </c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4" t="s">
        <v>1026</v>
      </c>
    </row>
    <row r="268" customFormat="false" ht="15" hidden="false" customHeight="false" outlineLevel="0" collapsed="false">
      <c r="A268" s="2" t="n">
        <v>1136639</v>
      </c>
      <c r="B268" s="2" t="s">
        <v>1027</v>
      </c>
      <c r="C268" s="2" t="s">
        <v>998</v>
      </c>
      <c r="D268" s="2" t="s">
        <v>341</v>
      </c>
      <c r="E268" s="2" t="s">
        <v>59</v>
      </c>
      <c r="F268" s="2" t="s">
        <v>70</v>
      </c>
      <c r="G268" s="2" t="s">
        <v>658</v>
      </c>
      <c r="H268" s="2" t="s">
        <v>1028</v>
      </c>
      <c r="I268" s="2" t="n">
        <v>98</v>
      </c>
      <c r="J268" s="2" t="n">
        <v>28</v>
      </c>
      <c r="K268" s="2" t="s">
        <v>1029</v>
      </c>
      <c r="L268" s="2" t="s">
        <v>67</v>
      </c>
      <c r="M268" s="2" t="n">
        <v>183</v>
      </c>
      <c r="N268" s="3" t="n">
        <v>124416</v>
      </c>
      <c r="O268" s="2"/>
      <c r="P268" s="2" t="n">
        <v>3</v>
      </c>
      <c r="Q268" s="3" t="n">
        <v>32</v>
      </c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 t="n">
        <v>1</v>
      </c>
      <c r="AX268" s="2"/>
      <c r="AY268" s="2"/>
      <c r="AZ268" s="2"/>
      <c r="BA268" s="2"/>
      <c r="BB268" s="2"/>
      <c r="BC268" s="2"/>
      <c r="BD268" s="4" t="s">
        <v>1030</v>
      </c>
    </row>
    <row r="269" customFormat="false" ht="15" hidden="false" customHeight="false" outlineLevel="0" collapsed="false">
      <c r="A269" s="2" t="n">
        <v>1921044</v>
      </c>
      <c r="B269" s="2" t="s">
        <v>1031</v>
      </c>
      <c r="C269" s="2" t="s">
        <v>998</v>
      </c>
      <c r="D269" s="2" t="s">
        <v>341</v>
      </c>
      <c r="E269" s="2" t="s">
        <v>59</v>
      </c>
      <c r="F269" s="2" t="s">
        <v>70</v>
      </c>
      <c r="G269" s="2"/>
      <c r="H269" s="2"/>
      <c r="I269" s="2" t="n">
        <v>14</v>
      </c>
      <c r="J269" s="2" t="n">
        <v>18</v>
      </c>
      <c r="K269" s="2" t="s">
        <v>1032</v>
      </c>
      <c r="L269" s="2" t="s">
        <v>67</v>
      </c>
      <c r="M269" s="2" t="n">
        <v>178</v>
      </c>
      <c r="N269" s="3"/>
      <c r="O269" s="2"/>
      <c r="P269" s="2" t="n">
        <v>1</v>
      </c>
      <c r="Q269" s="3" t="n">
        <v>1</v>
      </c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4" t="s">
        <v>1033</v>
      </c>
    </row>
    <row r="270" customFormat="false" ht="15" hidden="false" customHeight="false" outlineLevel="0" collapsed="false">
      <c r="A270" s="2" t="n">
        <v>2164866</v>
      </c>
      <c r="B270" s="2" t="s">
        <v>1034</v>
      </c>
      <c r="C270" s="2" t="s">
        <v>998</v>
      </c>
      <c r="D270" s="2" t="s">
        <v>341</v>
      </c>
      <c r="E270" s="2" t="s">
        <v>59</v>
      </c>
      <c r="F270" s="2" t="s">
        <v>70</v>
      </c>
      <c r="G270" s="2"/>
      <c r="H270" s="2"/>
      <c r="I270" s="2" t="n">
        <v>24</v>
      </c>
      <c r="J270" s="2" t="n">
        <v>18</v>
      </c>
      <c r="K270" s="2" t="s">
        <v>1035</v>
      </c>
      <c r="L270" s="2" t="s">
        <v>67</v>
      </c>
      <c r="M270" s="2"/>
      <c r="N270" s="3"/>
      <c r="O270" s="2"/>
      <c r="P270" s="2"/>
      <c r="Q270" s="3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4" t="s">
        <v>1036</v>
      </c>
    </row>
    <row r="271" customFormat="false" ht="15" hidden="false" customHeight="false" outlineLevel="0" collapsed="false">
      <c r="A271" s="2" t="n">
        <v>1346890</v>
      </c>
      <c r="B271" s="2" t="s">
        <v>1037</v>
      </c>
      <c r="C271" s="2" t="s">
        <v>998</v>
      </c>
      <c r="D271" s="2" t="s">
        <v>341</v>
      </c>
      <c r="E271" s="2" t="s">
        <v>59</v>
      </c>
      <c r="F271" s="2" t="s">
        <v>102</v>
      </c>
      <c r="G271" s="2" t="s">
        <v>103</v>
      </c>
      <c r="H271" s="2" t="s">
        <v>699</v>
      </c>
      <c r="I271" s="2" t="n">
        <v>16</v>
      </c>
      <c r="J271" s="2" t="n">
        <v>26</v>
      </c>
      <c r="K271" s="2" t="s">
        <v>1038</v>
      </c>
      <c r="L271" s="2" t="s">
        <v>67</v>
      </c>
      <c r="M271" s="2" t="n">
        <v>178</v>
      </c>
      <c r="N271" s="3" t="n">
        <v>95207</v>
      </c>
      <c r="O271" s="2"/>
      <c r="P271" s="2" t="n">
        <v>26</v>
      </c>
      <c r="Q271" s="3" t="n">
        <v>2186</v>
      </c>
      <c r="R271" s="2" t="n">
        <v>7.53</v>
      </c>
      <c r="S271" s="2" t="n">
        <v>4</v>
      </c>
      <c r="T271" s="2" t="n">
        <v>3</v>
      </c>
      <c r="U271" s="2" t="n">
        <v>0</v>
      </c>
      <c r="V271" s="2" t="n">
        <v>8</v>
      </c>
      <c r="W271" s="2"/>
      <c r="X271" s="2" t="n">
        <v>0.12</v>
      </c>
      <c r="Y271" s="2" t="n">
        <v>0.9</v>
      </c>
      <c r="Z271" s="2" t="n">
        <v>0.3</v>
      </c>
      <c r="AA271" s="2" t="n">
        <v>14.3</v>
      </c>
      <c r="AB271" s="2" t="n">
        <v>2</v>
      </c>
      <c r="AC271" s="2" t="n">
        <v>59</v>
      </c>
      <c r="AD271" s="2" t="n">
        <v>2.4</v>
      </c>
      <c r="AE271" s="2" t="n">
        <v>12</v>
      </c>
      <c r="AF271" s="2" t="n">
        <v>44.9</v>
      </c>
      <c r="AG271" s="2" t="n">
        <v>87.9</v>
      </c>
      <c r="AH271" s="2" t="n">
        <v>3.7</v>
      </c>
      <c r="AI271" s="2" t="n">
        <v>63.2</v>
      </c>
      <c r="AJ271" s="2" t="n">
        <v>0.6</v>
      </c>
      <c r="AK271" s="2" t="n">
        <v>58.3</v>
      </c>
      <c r="AL271" s="2"/>
      <c r="AM271" s="2"/>
      <c r="AN271" s="2" t="n">
        <v>3.7</v>
      </c>
      <c r="AO271" s="2" t="n">
        <v>1.4</v>
      </c>
      <c r="AP271" s="2" t="n">
        <v>1.3</v>
      </c>
      <c r="AQ271" s="2" t="n">
        <v>0.7</v>
      </c>
      <c r="AR271" s="2" t="n">
        <v>0.2</v>
      </c>
      <c r="AS271" s="2" t="n">
        <v>5.1</v>
      </c>
      <c r="AT271" s="2" t="n">
        <v>0.5</v>
      </c>
      <c r="AU271" s="2" t="n">
        <v>2.8</v>
      </c>
      <c r="AV271" s="2" t="n">
        <v>0.6</v>
      </c>
      <c r="AW271" s="2" t="n">
        <v>3</v>
      </c>
      <c r="AX271" s="2"/>
      <c r="AY271" s="2"/>
      <c r="AZ271" s="2"/>
      <c r="BA271" s="2"/>
      <c r="BB271" s="2"/>
      <c r="BC271" s="2"/>
      <c r="BD271" s="4" t="s">
        <v>1039</v>
      </c>
    </row>
    <row r="272" customFormat="false" ht="15" hidden="false" customHeight="false" outlineLevel="0" collapsed="false">
      <c r="A272" s="2" t="n">
        <v>731870</v>
      </c>
      <c r="B272" s="2" t="s">
        <v>1040</v>
      </c>
      <c r="C272" s="2" t="s">
        <v>998</v>
      </c>
      <c r="D272" s="2" t="s">
        <v>341</v>
      </c>
      <c r="E272" s="2" t="s">
        <v>59</v>
      </c>
      <c r="F272" s="2" t="s">
        <v>102</v>
      </c>
      <c r="G272" s="2" t="s">
        <v>103</v>
      </c>
      <c r="H272" s="2" t="s">
        <v>123</v>
      </c>
      <c r="I272" s="2" t="n">
        <v>6</v>
      </c>
      <c r="J272" s="2" t="n">
        <v>29</v>
      </c>
      <c r="K272" s="2" t="s">
        <v>1041</v>
      </c>
      <c r="L272" s="2" t="s">
        <v>784</v>
      </c>
      <c r="M272" s="2" t="n">
        <v>175</v>
      </c>
      <c r="N272" s="3" t="n">
        <v>50000</v>
      </c>
      <c r="O272" s="2"/>
      <c r="P272" s="2" t="n">
        <v>23</v>
      </c>
      <c r="Q272" s="3" t="n">
        <v>2070</v>
      </c>
      <c r="R272" s="2" t="n">
        <v>7.64</v>
      </c>
      <c r="S272" s="2" t="n">
        <v>4</v>
      </c>
      <c r="T272" s="2" t="n">
        <v>4</v>
      </c>
      <c r="U272" s="2" t="n">
        <v>0</v>
      </c>
      <c r="V272" s="2" t="n">
        <v>6</v>
      </c>
      <c r="W272" s="2"/>
      <c r="X272" s="2" t="n">
        <v>0.17</v>
      </c>
      <c r="Y272" s="2" t="n">
        <v>2</v>
      </c>
      <c r="Z272" s="2" t="n">
        <v>0.6</v>
      </c>
      <c r="AA272" s="2" t="n">
        <v>8.9</v>
      </c>
      <c r="AB272" s="2"/>
      <c r="AC272" s="2" t="n">
        <v>35</v>
      </c>
      <c r="AD272" s="2" t="n">
        <v>1.5</v>
      </c>
      <c r="AE272" s="2" t="n">
        <v>6</v>
      </c>
      <c r="AF272" s="2" t="n">
        <v>58.8</v>
      </c>
      <c r="AG272" s="2" t="n">
        <v>85.9</v>
      </c>
      <c r="AH272" s="2" t="n">
        <v>6.8</v>
      </c>
      <c r="AI272" s="2" t="n">
        <v>62.5</v>
      </c>
      <c r="AJ272" s="2" t="n">
        <v>0.3</v>
      </c>
      <c r="AK272" s="2" t="n">
        <v>47.1</v>
      </c>
      <c r="AL272" s="2"/>
      <c r="AM272" s="2"/>
      <c r="AN272" s="2" t="n">
        <v>6.3</v>
      </c>
      <c r="AO272" s="2" t="n">
        <v>1.8</v>
      </c>
      <c r="AP272" s="2" t="n">
        <v>1.6</v>
      </c>
      <c r="AQ272" s="2" t="n">
        <v>2.2</v>
      </c>
      <c r="AR272" s="2" t="n">
        <v>0.7</v>
      </c>
      <c r="AS272" s="2" t="n">
        <v>6.3</v>
      </c>
      <c r="AT272" s="2" t="n">
        <v>0.3</v>
      </c>
      <c r="AU272" s="2" t="n">
        <v>3.4</v>
      </c>
      <c r="AV272" s="2" t="n">
        <v>0.6</v>
      </c>
      <c r="AW272" s="2" t="n">
        <v>4</v>
      </c>
      <c r="AX272" s="2"/>
      <c r="AY272" s="2"/>
      <c r="AZ272" s="2"/>
      <c r="BA272" s="2"/>
      <c r="BB272" s="2"/>
      <c r="BC272" s="2"/>
      <c r="BD272" s="4" t="s">
        <v>1042</v>
      </c>
    </row>
    <row r="273" customFormat="false" ht="15" hidden="false" customHeight="false" outlineLevel="0" collapsed="false">
      <c r="A273" s="2" t="n">
        <v>1026160</v>
      </c>
      <c r="B273" s="2" t="s">
        <v>1043</v>
      </c>
      <c r="C273" s="2" t="s">
        <v>998</v>
      </c>
      <c r="D273" s="2" t="s">
        <v>341</v>
      </c>
      <c r="E273" s="2" t="s">
        <v>59</v>
      </c>
      <c r="F273" s="2" t="s">
        <v>102</v>
      </c>
      <c r="G273" s="2" t="s">
        <v>113</v>
      </c>
      <c r="H273" s="2" t="s">
        <v>1044</v>
      </c>
      <c r="I273" s="2" t="n">
        <v>8</v>
      </c>
      <c r="J273" s="2" t="n">
        <v>25</v>
      </c>
      <c r="K273" s="2" t="s">
        <v>1045</v>
      </c>
      <c r="L273" s="2" t="s">
        <v>178</v>
      </c>
      <c r="M273" s="2" t="n">
        <v>180</v>
      </c>
      <c r="N273" s="3" t="n">
        <v>96943</v>
      </c>
      <c r="O273" s="2"/>
      <c r="P273" s="2" t="n">
        <v>25</v>
      </c>
      <c r="Q273" s="3" t="n">
        <v>1750</v>
      </c>
      <c r="R273" s="2" t="n">
        <v>7.18</v>
      </c>
      <c r="S273" s="2" t="n">
        <v>1</v>
      </c>
      <c r="T273" s="2" t="n">
        <v>5</v>
      </c>
      <c r="U273" s="2" t="n">
        <v>0</v>
      </c>
      <c r="V273" s="2" t="n">
        <v>6</v>
      </c>
      <c r="W273" s="2"/>
      <c r="X273" s="2" t="n">
        <v>0.26</v>
      </c>
      <c r="Y273" s="2" t="n">
        <v>2.5</v>
      </c>
      <c r="Z273" s="2" t="n">
        <v>0.8</v>
      </c>
      <c r="AA273" s="2" t="n">
        <v>10.4</v>
      </c>
      <c r="AB273" s="2" t="n">
        <v>9</v>
      </c>
      <c r="AC273" s="2" t="n">
        <v>30</v>
      </c>
      <c r="AD273" s="2" t="n">
        <v>1.5</v>
      </c>
      <c r="AE273" s="2" t="n">
        <v>9</v>
      </c>
      <c r="AF273" s="2" t="n">
        <v>27.2</v>
      </c>
      <c r="AG273" s="2" t="n">
        <v>83.1</v>
      </c>
      <c r="AH273" s="2" t="n">
        <v>0.5</v>
      </c>
      <c r="AI273" s="2" t="n">
        <v>31.3</v>
      </c>
      <c r="AJ273" s="2" t="n">
        <v>1.1</v>
      </c>
      <c r="AK273" s="2" t="n">
        <v>58.3</v>
      </c>
      <c r="AL273" s="2"/>
      <c r="AM273" s="2"/>
      <c r="AN273" s="2" t="n">
        <v>2.7</v>
      </c>
      <c r="AO273" s="2" t="n">
        <v>1.1</v>
      </c>
      <c r="AP273" s="2" t="n">
        <v>0.9</v>
      </c>
      <c r="AQ273" s="2" t="n">
        <v>0.7</v>
      </c>
      <c r="AR273" s="2"/>
      <c r="AS273" s="2" t="n">
        <v>3.8</v>
      </c>
      <c r="AT273" s="2" t="n">
        <v>0.5</v>
      </c>
      <c r="AU273" s="2" t="n">
        <v>2.6</v>
      </c>
      <c r="AV273" s="2" t="n">
        <v>0.8</v>
      </c>
      <c r="AW273" s="2" t="n">
        <v>2</v>
      </c>
      <c r="AX273" s="2"/>
      <c r="AY273" s="2"/>
      <c r="AZ273" s="2"/>
      <c r="BA273" s="2"/>
      <c r="BB273" s="2"/>
      <c r="BC273" s="2"/>
      <c r="BD273" s="4" t="s">
        <v>1046</v>
      </c>
    </row>
    <row r="274" customFormat="false" ht="15" hidden="false" customHeight="false" outlineLevel="0" collapsed="false">
      <c r="A274" s="2" t="n">
        <v>1016092</v>
      </c>
      <c r="B274" s="2" t="s">
        <v>1047</v>
      </c>
      <c r="C274" s="2" t="s">
        <v>998</v>
      </c>
      <c r="D274" s="2" t="s">
        <v>341</v>
      </c>
      <c r="E274" s="2" t="s">
        <v>59</v>
      </c>
      <c r="F274" s="2" t="s">
        <v>102</v>
      </c>
      <c r="G274" s="2" t="s">
        <v>147</v>
      </c>
      <c r="H274" s="2" t="s">
        <v>1048</v>
      </c>
      <c r="I274" s="2" t="n">
        <v>15</v>
      </c>
      <c r="J274" s="2" t="n">
        <v>26</v>
      </c>
      <c r="K274" s="2" t="s">
        <v>1049</v>
      </c>
      <c r="L274" s="2" t="s">
        <v>413</v>
      </c>
      <c r="M274" s="2" t="n">
        <v>195</v>
      </c>
      <c r="N274" s="3" t="n">
        <v>79264</v>
      </c>
      <c r="O274" s="2"/>
      <c r="P274" s="2" t="n">
        <v>22</v>
      </c>
      <c r="Q274" s="3" t="n">
        <v>1550</v>
      </c>
      <c r="R274" s="2" t="n">
        <v>6.63</v>
      </c>
      <c r="S274" s="2" t="n">
        <v>0</v>
      </c>
      <c r="T274" s="2" t="n">
        <v>1</v>
      </c>
      <c r="U274" s="2" t="n">
        <v>0</v>
      </c>
      <c r="V274" s="2"/>
      <c r="W274" s="2"/>
      <c r="X274" s="2" t="n">
        <v>0.06</v>
      </c>
      <c r="Y274" s="2" t="n">
        <v>1.3</v>
      </c>
      <c r="Z274" s="2" t="n">
        <v>0.4</v>
      </c>
      <c r="AA274" s="2" t="n">
        <v>4.4</v>
      </c>
      <c r="AB274" s="2" t="n">
        <v>2</v>
      </c>
      <c r="AC274" s="2" t="n">
        <v>8</v>
      </c>
      <c r="AD274" s="2" t="n">
        <v>0.5</v>
      </c>
      <c r="AE274" s="2"/>
      <c r="AF274" s="2" t="n">
        <v>20.4</v>
      </c>
      <c r="AG274" s="2" t="n">
        <v>76.9</v>
      </c>
      <c r="AH274" s="2" t="n">
        <v>1.6</v>
      </c>
      <c r="AI274" s="2" t="n">
        <v>50.9</v>
      </c>
      <c r="AJ274" s="2" t="n">
        <v>0.3</v>
      </c>
      <c r="AK274" s="2" t="n">
        <v>54.5</v>
      </c>
      <c r="AL274" s="2"/>
      <c r="AM274" s="2"/>
      <c r="AN274" s="2" t="n">
        <v>3.8</v>
      </c>
      <c r="AO274" s="2" t="n">
        <v>1.4</v>
      </c>
      <c r="AP274" s="2" t="n">
        <v>1.3</v>
      </c>
      <c r="AQ274" s="2" t="n">
        <v>0.9</v>
      </c>
      <c r="AR274" s="2" t="n">
        <v>0.2</v>
      </c>
      <c r="AS274" s="2" t="n">
        <v>3.3</v>
      </c>
      <c r="AT274" s="2" t="n">
        <v>0.3</v>
      </c>
      <c r="AU274" s="2" t="n">
        <v>2</v>
      </c>
      <c r="AV274" s="2" t="n">
        <v>2</v>
      </c>
      <c r="AW274" s="2" t="n">
        <v>3</v>
      </c>
      <c r="AX274" s="2"/>
      <c r="AY274" s="2"/>
      <c r="AZ274" s="2"/>
      <c r="BA274" s="2"/>
      <c r="BB274" s="2"/>
      <c r="BC274" s="2"/>
      <c r="BD274" s="4" t="s">
        <v>1050</v>
      </c>
    </row>
    <row r="275" customFormat="false" ht="15" hidden="false" customHeight="false" outlineLevel="0" collapsed="false">
      <c r="A275" s="2" t="n">
        <v>1188643</v>
      </c>
      <c r="B275" s="2" t="s">
        <v>1051</v>
      </c>
      <c r="C275" s="2" t="s">
        <v>998</v>
      </c>
      <c r="D275" s="2" t="s">
        <v>341</v>
      </c>
      <c r="E275" s="2" t="s">
        <v>59</v>
      </c>
      <c r="F275" s="2" t="s">
        <v>102</v>
      </c>
      <c r="G275" s="2" t="s">
        <v>113</v>
      </c>
      <c r="H275" s="2" t="s">
        <v>1052</v>
      </c>
      <c r="I275" s="2" t="n">
        <v>27</v>
      </c>
      <c r="J275" s="2" t="n">
        <v>26</v>
      </c>
      <c r="K275" s="2" t="s">
        <v>1053</v>
      </c>
      <c r="L275" s="2" t="s">
        <v>775</v>
      </c>
      <c r="M275" s="2" t="n">
        <v>185</v>
      </c>
      <c r="N275" s="3" t="n">
        <v>85192</v>
      </c>
      <c r="O275" s="2"/>
      <c r="P275" s="2" t="n">
        <v>12</v>
      </c>
      <c r="Q275" s="3" t="n">
        <v>724</v>
      </c>
      <c r="R275" s="2"/>
      <c r="S275" s="2"/>
      <c r="T275" s="2" t="n">
        <v>3</v>
      </c>
      <c r="U275" s="2" t="n">
        <v>0</v>
      </c>
      <c r="V275" s="2" t="n">
        <v>2</v>
      </c>
      <c r="W275" s="2"/>
      <c r="X275" s="2"/>
      <c r="Y275" s="2"/>
      <c r="Z275" s="2"/>
      <c r="AA275" s="2"/>
      <c r="AB275" s="2" t="n">
        <v>2</v>
      </c>
      <c r="AC275" s="2" t="n">
        <v>8</v>
      </c>
      <c r="AD275" s="2" t="n">
        <v>1</v>
      </c>
      <c r="AE275" s="2" t="n">
        <v>3</v>
      </c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 t="n">
        <v>1</v>
      </c>
      <c r="AZ275" s="2"/>
      <c r="BA275" s="2"/>
      <c r="BB275" s="2"/>
      <c r="BC275" s="2"/>
      <c r="BD275" s="4" t="s">
        <v>1054</v>
      </c>
    </row>
    <row r="276" customFormat="false" ht="15" hidden="false" customHeight="false" outlineLevel="0" collapsed="false">
      <c r="A276" s="2" t="n">
        <v>1468886</v>
      </c>
      <c r="B276" s="2" t="s">
        <v>1055</v>
      </c>
      <c r="C276" s="2" t="s">
        <v>998</v>
      </c>
      <c r="D276" s="2" t="s">
        <v>341</v>
      </c>
      <c r="E276" s="2" t="s">
        <v>59</v>
      </c>
      <c r="F276" s="2" t="s">
        <v>102</v>
      </c>
      <c r="G276" s="2" t="s">
        <v>404</v>
      </c>
      <c r="H276" s="2" t="s">
        <v>404</v>
      </c>
      <c r="I276" s="2" t="n">
        <v>13</v>
      </c>
      <c r="J276" s="2" t="n">
        <v>20</v>
      </c>
      <c r="K276" s="2" t="s">
        <v>1056</v>
      </c>
      <c r="L276" s="2" t="s">
        <v>67</v>
      </c>
      <c r="M276" s="2" t="n">
        <v>188</v>
      </c>
      <c r="N276" s="3" t="n">
        <v>445494</v>
      </c>
      <c r="O276" s="2"/>
      <c r="P276" s="2" t="n">
        <v>5</v>
      </c>
      <c r="Q276" s="3" t="n">
        <v>72</v>
      </c>
      <c r="R276" s="2"/>
      <c r="S276" s="2"/>
      <c r="T276" s="2" t="n">
        <v>1</v>
      </c>
      <c r="U276" s="2" t="n">
        <v>0</v>
      </c>
      <c r="V276" s="2"/>
      <c r="W276" s="2"/>
      <c r="X276" s="2"/>
      <c r="Y276" s="2"/>
      <c r="Z276" s="2"/>
      <c r="AA276" s="2"/>
      <c r="AB276" s="2" t="n">
        <v>1</v>
      </c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4" t="s">
        <v>1057</v>
      </c>
    </row>
    <row r="277" customFormat="false" ht="15" hidden="false" customHeight="false" outlineLevel="0" collapsed="false">
      <c r="A277" s="2" t="n">
        <v>1997564</v>
      </c>
      <c r="B277" s="2" t="s">
        <v>1058</v>
      </c>
      <c r="C277" s="2" t="s">
        <v>998</v>
      </c>
      <c r="D277" s="2" t="s">
        <v>341</v>
      </c>
      <c r="E277" s="2" t="s">
        <v>59</v>
      </c>
      <c r="F277" s="2" t="s">
        <v>102</v>
      </c>
      <c r="G277" s="2"/>
      <c r="H277" s="2"/>
      <c r="I277" s="2" t="n">
        <v>28</v>
      </c>
      <c r="J277" s="2" t="n">
        <v>19</v>
      </c>
      <c r="K277" s="2" t="s">
        <v>1059</v>
      </c>
      <c r="L277" s="2" t="s">
        <v>67</v>
      </c>
      <c r="M277" s="2" t="n">
        <v>183</v>
      </c>
      <c r="N277" s="3"/>
      <c r="O277" s="2"/>
      <c r="P277" s="2"/>
      <c r="Q277" s="3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4" t="s">
        <v>1060</v>
      </c>
    </row>
    <row r="278" customFormat="false" ht="15" hidden="false" customHeight="false" outlineLevel="0" collapsed="false">
      <c r="A278" s="2" t="n">
        <v>769782</v>
      </c>
      <c r="B278" s="2" t="s">
        <v>1061</v>
      </c>
      <c r="C278" s="2" t="s">
        <v>998</v>
      </c>
      <c r="D278" s="2" t="s">
        <v>341</v>
      </c>
      <c r="E278" s="2" t="s">
        <v>59</v>
      </c>
      <c r="F278" s="2" t="s">
        <v>102</v>
      </c>
      <c r="G278" s="2" t="s">
        <v>404</v>
      </c>
      <c r="H278" s="2" t="s">
        <v>404</v>
      </c>
      <c r="I278" s="2" t="n">
        <v>96</v>
      </c>
      <c r="J278" s="2" t="n">
        <v>30</v>
      </c>
      <c r="K278" s="2" t="s">
        <v>1062</v>
      </c>
      <c r="L278" s="2" t="s">
        <v>67</v>
      </c>
      <c r="M278" s="2" t="n">
        <v>188</v>
      </c>
      <c r="N278" s="3" t="n">
        <v>72000</v>
      </c>
      <c r="O278" s="2"/>
      <c r="P278" s="2"/>
      <c r="Q278" s="3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4" t="s">
        <v>1063</v>
      </c>
    </row>
    <row r="279" customFormat="false" ht="15" hidden="false" customHeight="false" outlineLevel="0" collapsed="false">
      <c r="A279" s="2" t="n">
        <v>825666</v>
      </c>
      <c r="B279" s="2" t="s">
        <v>1064</v>
      </c>
      <c r="C279" s="2" t="s">
        <v>998</v>
      </c>
      <c r="D279" s="2" t="s">
        <v>341</v>
      </c>
      <c r="E279" s="2" t="s">
        <v>59</v>
      </c>
      <c r="F279" s="2" t="s">
        <v>137</v>
      </c>
      <c r="G279" s="2" t="s">
        <v>138</v>
      </c>
      <c r="H279" s="2" t="s">
        <v>1065</v>
      </c>
      <c r="I279" s="2" t="n">
        <v>7</v>
      </c>
      <c r="J279" s="2" t="n">
        <v>31</v>
      </c>
      <c r="K279" s="2" t="s">
        <v>1066</v>
      </c>
      <c r="L279" s="2" t="s">
        <v>67</v>
      </c>
      <c r="M279" s="2" t="n">
        <v>183</v>
      </c>
      <c r="N279" s="3" t="n">
        <v>89660</v>
      </c>
      <c r="O279" s="2"/>
      <c r="P279" s="2" t="n">
        <v>26</v>
      </c>
      <c r="Q279" s="3" t="n">
        <v>2155</v>
      </c>
      <c r="R279" s="2" t="n">
        <v>7.39</v>
      </c>
      <c r="S279" s="2" t="n">
        <v>1</v>
      </c>
      <c r="T279" s="2" t="n">
        <v>7</v>
      </c>
      <c r="U279" s="2" t="n">
        <v>0</v>
      </c>
      <c r="V279" s="2" t="n">
        <v>5</v>
      </c>
      <c r="W279" s="2"/>
      <c r="X279" s="2" t="n">
        <v>0.29</v>
      </c>
      <c r="Y279" s="2" t="n">
        <v>2</v>
      </c>
      <c r="Z279" s="2" t="n">
        <v>0.9</v>
      </c>
      <c r="AA279" s="2" t="n">
        <v>14.6</v>
      </c>
      <c r="AB279" s="2" t="n">
        <v>2</v>
      </c>
      <c r="AC279" s="2" t="n">
        <v>45</v>
      </c>
      <c r="AD279" s="2" t="n">
        <v>1.9</v>
      </c>
      <c r="AE279" s="2" t="n">
        <v>10</v>
      </c>
      <c r="AF279" s="2" t="n">
        <v>20.8</v>
      </c>
      <c r="AG279" s="2" t="n">
        <v>77.3</v>
      </c>
      <c r="AH279" s="2" t="n">
        <v>0.7</v>
      </c>
      <c r="AI279" s="2" t="n">
        <v>38.6</v>
      </c>
      <c r="AJ279" s="2" t="n">
        <v>1.7</v>
      </c>
      <c r="AK279" s="2" t="n">
        <v>47.7</v>
      </c>
      <c r="AL279" s="2"/>
      <c r="AM279" s="2"/>
      <c r="AN279" s="2" t="n">
        <v>2</v>
      </c>
      <c r="AO279" s="2" t="n">
        <v>0.8</v>
      </c>
      <c r="AP279" s="2" t="n">
        <v>0.5</v>
      </c>
      <c r="AQ279" s="2" t="n">
        <v>0.7</v>
      </c>
      <c r="AR279" s="2"/>
      <c r="AS279" s="2" t="n">
        <v>3.9</v>
      </c>
      <c r="AT279" s="2" t="n">
        <v>0.3</v>
      </c>
      <c r="AU279" s="2" t="n">
        <v>2.4</v>
      </c>
      <c r="AV279" s="2" t="n">
        <v>0.6</v>
      </c>
      <c r="AW279" s="2"/>
      <c r="AX279" s="2"/>
      <c r="AY279" s="2"/>
      <c r="AZ279" s="2"/>
      <c r="BA279" s="2"/>
      <c r="BB279" s="2"/>
      <c r="BC279" s="2"/>
      <c r="BD279" s="4" t="s">
        <v>1067</v>
      </c>
    </row>
    <row r="280" customFormat="false" ht="15" hidden="false" customHeight="false" outlineLevel="0" collapsed="false">
      <c r="A280" s="2" t="n">
        <v>1134448</v>
      </c>
      <c r="B280" s="2" t="s">
        <v>1068</v>
      </c>
      <c r="C280" s="2" t="s">
        <v>998</v>
      </c>
      <c r="D280" s="2" t="s">
        <v>341</v>
      </c>
      <c r="E280" s="2" t="s">
        <v>59</v>
      </c>
      <c r="F280" s="2" t="s">
        <v>137</v>
      </c>
      <c r="G280" s="2" t="s">
        <v>147</v>
      </c>
      <c r="H280" s="2" t="s">
        <v>147</v>
      </c>
      <c r="I280" s="2" t="n">
        <v>9</v>
      </c>
      <c r="J280" s="2" t="n">
        <v>29</v>
      </c>
      <c r="K280" s="2" t="s">
        <v>1069</v>
      </c>
      <c r="L280" s="2" t="s">
        <v>67</v>
      </c>
      <c r="M280" s="2" t="n">
        <v>180</v>
      </c>
      <c r="N280" s="3" t="n">
        <v>50000</v>
      </c>
      <c r="O280" s="2"/>
      <c r="P280" s="2" t="n">
        <v>24</v>
      </c>
      <c r="Q280" s="3" t="n">
        <v>2108</v>
      </c>
      <c r="R280" s="2" t="n">
        <v>7.16</v>
      </c>
      <c r="S280" s="2" t="n">
        <v>3</v>
      </c>
      <c r="T280" s="2" t="n">
        <v>11</v>
      </c>
      <c r="U280" s="2" t="n">
        <v>0</v>
      </c>
      <c r="V280" s="2" t="n">
        <v>3</v>
      </c>
      <c r="W280" s="2"/>
      <c r="X280" s="2" t="n">
        <v>0.47</v>
      </c>
      <c r="Y280" s="2" t="n">
        <v>3</v>
      </c>
      <c r="Z280" s="2" t="n">
        <v>1.4</v>
      </c>
      <c r="AA280" s="2" t="n">
        <v>15.5</v>
      </c>
      <c r="AB280" s="2" t="n">
        <v>12</v>
      </c>
      <c r="AC280" s="2" t="n">
        <v>24</v>
      </c>
      <c r="AD280" s="2" t="n">
        <v>1</v>
      </c>
      <c r="AE280" s="2" t="n">
        <v>7</v>
      </c>
      <c r="AF280" s="2" t="n">
        <v>11</v>
      </c>
      <c r="AG280" s="2" t="n">
        <v>71.6</v>
      </c>
      <c r="AH280" s="2" t="n">
        <v>0.7</v>
      </c>
      <c r="AI280" s="2" t="n">
        <v>70.8</v>
      </c>
      <c r="AJ280" s="2" t="n">
        <v>0.6</v>
      </c>
      <c r="AK280" s="2" t="n">
        <v>50</v>
      </c>
      <c r="AL280" s="2"/>
      <c r="AM280" s="2"/>
      <c r="AN280" s="2" t="n">
        <v>1</v>
      </c>
      <c r="AO280" s="2" t="n">
        <v>0.5</v>
      </c>
      <c r="AP280" s="2" t="n">
        <v>0</v>
      </c>
      <c r="AQ280" s="2" t="n">
        <v>0.3</v>
      </c>
      <c r="AR280" s="2" t="n">
        <v>0.1</v>
      </c>
      <c r="AS280" s="2" t="n">
        <v>1.7</v>
      </c>
      <c r="AT280" s="2" t="n">
        <v>0.4</v>
      </c>
      <c r="AU280" s="2" t="n">
        <v>0.9</v>
      </c>
      <c r="AV280" s="2" t="n">
        <v>2.5</v>
      </c>
      <c r="AW280" s="2" t="n">
        <v>8</v>
      </c>
      <c r="AX280" s="2"/>
      <c r="AY280" s="2"/>
      <c r="AZ280" s="2"/>
      <c r="BA280" s="2"/>
      <c r="BB280" s="2"/>
      <c r="BC280" s="2"/>
      <c r="BD280" s="4" t="s">
        <v>1070</v>
      </c>
    </row>
    <row r="281" customFormat="false" ht="15" hidden="false" customHeight="false" outlineLevel="0" collapsed="false">
      <c r="A281" s="2" t="n">
        <v>1351047</v>
      </c>
      <c r="B281" s="2" t="s">
        <v>1071</v>
      </c>
      <c r="C281" s="2" t="s">
        <v>998</v>
      </c>
      <c r="D281" s="2" t="s">
        <v>341</v>
      </c>
      <c r="E281" s="2" t="s">
        <v>59</v>
      </c>
      <c r="F281" s="2" t="s">
        <v>137</v>
      </c>
      <c r="G281" s="2" t="s">
        <v>147</v>
      </c>
      <c r="H281" s="2" t="s">
        <v>147</v>
      </c>
      <c r="I281" s="2" t="n">
        <v>19</v>
      </c>
      <c r="J281" s="2" t="n">
        <v>21</v>
      </c>
      <c r="K281" s="2" t="s">
        <v>1072</v>
      </c>
      <c r="L281" s="2" t="s">
        <v>85</v>
      </c>
      <c r="M281" s="2" t="n">
        <v>183</v>
      </c>
      <c r="N281" s="3" t="n">
        <v>297930</v>
      </c>
      <c r="O281" s="2"/>
      <c r="P281" s="2" t="n">
        <v>20</v>
      </c>
      <c r="Q281" s="3" t="n">
        <v>456</v>
      </c>
      <c r="R281" s="2" t="n">
        <v>6.48</v>
      </c>
      <c r="S281" s="2" t="n">
        <v>0</v>
      </c>
      <c r="T281" s="2" t="n">
        <v>3</v>
      </c>
      <c r="U281" s="2" t="n">
        <v>0</v>
      </c>
      <c r="V281" s="2"/>
      <c r="W281" s="2"/>
      <c r="X281" s="2" t="n">
        <v>0.59</v>
      </c>
      <c r="Y281" s="2" t="n">
        <v>2.2</v>
      </c>
      <c r="Z281" s="2" t="n">
        <v>1</v>
      </c>
      <c r="AA281" s="2" t="n">
        <v>27.3</v>
      </c>
      <c r="AB281" s="2" t="n">
        <v>3</v>
      </c>
      <c r="AC281" s="2" t="n">
        <v>8</v>
      </c>
      <c r="AD281" s="2" t="n">
        <v>1.6</v>
      </c>
      <c r="AE281" s="2" t="n">
        <v>4</v>
      </c>
      <c r="AF281" s="2" t="n">
        <v>13.6</v>
      </c>
      <c r="AG281" s="2" t="n">
        <v>63.9</v>
      </c>
      <c r="AH281" s="2"/>
      <c r="AI281" s="2"/>
      <c r="AJ281" s="2" t="n">
        <v>1.4</v>
      </c>
      <c r="AK281" s="2" t="n">
        <v>43.8</v>
      </c>
      <c r="AL281" s="2" t="n">
        <v>1</v>
      </c>
      <c r="AM281" s="2" t="n">
        <v>1.6</v>
      </c>
      <c r="AN281" s="2" t="n">
        <v>3.8</v>
      </c>
      <c r="AO281" s="2" t="n">
        <v>3</v>
      </c>
      <c r="AP281" s="2" t="n">
        <v>0.6</v>
      </c>
      <c r="AQ281" s="2" t="n">
        <v>0.2</v>
      </c>
      <c r="AR281" s="2"/>
      <c r="AS281" s="2" t="n">
        <v>5.1</v>
      </c>
      <c r="AT281" s="2" t="n">
        <v>1</v>
      </c>
      <c r="AU281" s="2" t="n">
        <v>3.2</v>
      </c>
      <c r="AV281" s="2" t="n">
        <v>3.2</v>
      </c>
      <c r="AW281" s="2" t="n">
        <v>4</v>
      </c>
      <c r="AX281" s="2"/>
      <c r="AY281" s="2"/>
      <c r="AZ281" s="2"/>
      <c r="BA281" s="2"/>
      <c r="BB281" s="2"/>
      <c r="BC281" s="2"/>
      <c r="BD281" s="4" t="s">
        <v>1073</v>
      </c>
    </row>
    <row r="282" customFormat="false" ht="15" hidden="false" customHeight="false" outlineLevel="0" collapsed="false">
      <c r="A282" s="2" t="n">
        <v>1403414</v>
      </c>
      <c r="B282" s="2" t="s">
        <v>1074</v>
      </c>
      <c r="C282" s="2" t="s">
        <v>998</v>
      </c>
      <c r="D282" s="2" t="s">
        <v>341</v>
      </c>
      <c r="E282" s="2" t="s">
        <v>59</v>
      </c>
      <c r="F282" s="2" t="s">
        <v>137</v>
      </c>
      <c r="G282" s="2" t="s">
        <v>133</v>
      </c>
      <c r="H282" s="2" t="s">
        <v>133</v>
      </c>
      <c r="I282" s="2" t="n">
        <v>34</v>
      </c>
      <c r="J282" s="2" t="n">
        <v>21</v>
      </c>
      <c r="K282" s="2" t="s">
        <v>1075</v>
      </c>
      <c r="L282" s="2" t="s">
        <v>67</v>
      </c>
      <c r="M282" s="2" t="n">
        <v>175</v>
      </c>
      <c r="N282" s="3" t="n">
        <v>278880</v>
      </c>
      <c r="O282" s="2"/>
      <c r="P282" s="2" t="n">
        <v>7</v>
      </c>
      <c r="Q282" s="3" t="n">
        <v>355</v>
      </c>
      <c r="R282" s="2"/>
      <c r="S282" s="2"/>
      <c r="T282" s="2" t="n">
        <v>1</v>
      </c>
      <c r="U282" s="2" t="n">
        <v>0</v>
      </c>
      <c r="V282" s="2" t="n">
        <v>1</v>
      </c>
      <c r="W282" s="2"/>
      <c r="X282" s="2"/>
      <c r="Y282" s="2"/>
      <c r="Z282" s="2"/>
      <c r="AA282" s="2"/>
      <c r="AB282" s="2"/>
      <c r="AC282" s="2" t="n">
        <v>5</v>
      </c>
      <c r="AD282" s="2" t="n">
        <v>1.3</v>
      </c>
      <c r="AE282" s="2" t="n">
        <v>2</v>
      </c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 t="n">
        <v>1</v>
      </c>
      <c r="AX282" s="2"/>
      <c r="AY282" s="2"/>
      <c r="AZ282" s="2"/>
      <c r="BA282" s="2"/>
      <c r="BB282" s="2"/>
      <c r="BC282" s="2"/>
      <c r="BD282" s="4" t="s">
        <v>1076</v>
      </c>
    </row>
    <row r="283" customFormat="false" ht="15" hidden="false" customHeight="false" outlineLevel="0" collapsed="false">
      <c r="A283" s="2" t="n">
        <v>825619</v>
      </c>
      <c r="B283" s="2" t="s">
        <v>1077</v>
      </c>
      <c r="C283" s="2" t="s">
        <v>998</v>
      </c>
      <c r="D283" s="2" t="s">
        <v>341</v>
      </c>
      <c r="E283" s="2" t="s">
        <v>59</v>
      </c>
      <c r="F283" s="2" t="s">
        <v>137</v>
      </c>
      <c r="G283" s="2" t="s">
        <v>138</v>
      </c>
      <c r="H283" s="2" t="s">
        <v>138</v>
      </c>
      <c r="I283" s="2" t="n">
        <v>77</v>
      </c>
      <c r="J283" s="2" t="n">
        <v>29</v>
      </c>
      <c r="K283" s="2" t="s">
        <v>1078</v>
      </c>
      <c r="L283" s="2" t="s">
        <v>67</v>
      </c>
      <c r="M283" s="2" t="n">
        <v>170</v>
      </c>
      <c r="N283" s="3" t="n">
        <v>65966</v>
      </c>
      <c r="O283" s="2"/>
      <c r="P283" s="2" t="n">
        <v>5</v>
      </c>
      <c r="Q283" s="3" t="n">
        <v>102</v>
      </c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 t="n">
        <v>1</v>
      </c>
      <c r="AC283" s="2" t="n">
        <v>2</v>
      </c>
      <c r="AD283" s="2" t="n">
        <v>1.8</v>
      </c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4" t="s">
        <v>1079</v>
      </c>
    </row>
    <row r="284" customFormat="false" ht="15" hidden="false" customHeight="false" outlineLevel="0" collapsed="false">
      <c r="A284" s="2" t="n">
        <v>1447918</v>
      </c>
      <c r="B284" s="2" t="s">
        <v>1080</v>
      </c>
      <c r="C284" s="2" t="s">
        <v>998</v>
      </c>
      <c r="D284" s="2" t="s">
        <v>341</v>
      </c>
      <c r="E284" s="2" t="s">
        <v>59</v>
      </c>
      <c r="F284" s="2" t="s">
        <v>137</v>
      </c>
      <c r="G284" s="2" t="s">
        <v>138</v>
      </c>
      <c r="H284" s="2" t="s">
        <v>138</v>
      </c>
      <c r="I284" s="2" t="n">
        <v>20</v>
      </c>
      <c r="J284" s="2" t="n">
        <v>28</v>
      </c>
      <c r="K284" s="2" t="s">
        <v>1081</v>
      </c>
      <c r="L284" s="2" t="s">
        <v>1000</v>
      </c>
      <c r="M284" s="2" t="n">
        <v>191</v>
      </c>
      <c r="N284" s="3" t="n">
        <v>50000</v>
      </c>
      <c r="O284" s="2"/>
      <c r="P284" s="2" t="n">
        <v>9</v>
      </c>
      <c r="Q284" s="3" t="n">
        <v>101</v>
      </c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 t="n">
        <v>2</v>
      </c>
      <c r="AD284" s="2" t="n">
        <v>1.8</v>
      </c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 t="n">
        <v>1</v>
      </c>
      <c r="AX284" s="2"/>
      <c r="AY284" s="2"/>
      <c r="AZ284" s="2"/>
      <c r="BA284" s="2"/>
      <c r="BB284" s="2"/>
      <c r="BC284" s="2"/>
      <c r="BD284" s="4" t="s">
        <v>1082</v>
      </c>
    </row>
    <row r="285" customFormat="false" ht="15" hidden="false" customHeight="false" outlineLevel="0" collapsed="false">
      <c r="A285" s="2" t="n">
        <v>1935080</v>
      </c>
      <c r="B285" s="2" t="s">
        <v>1083</v>
      </c>
      <c r="C285" s="2" t="s">
        <v>998</v>
      </c>
      <c r="D285" s="2" t="s">
        <v>341</v>
      </c>
      <c r="E285" s="2" t="s">
        <v>59</v>
      </c>
      <c r="F285" s="2" t="s">
        <v>137</v>
      </c>
      <c r="G285" s="2"/>
      <c r="H285" s="2"/>
      <c r="I285" s="2" t="n">
        <v>26</v>
      </c>
      <c r="J285" s="2" t="n">
        <v>22</v>
      </c>
      <c r="K285" s="2" t="s">
        <v>1084</v>
      </c>
      <c r="L285" s="2" t="s">
        <v>67</v>
      </c>
      <c r="M285" s="2" t="n">
        <v>178</v>
      </c>
      <c r="N285" s="3"/>
      <c r="O285" s="2"/>
      <c r="P285" s="2"/>
      <c r="Q285" s="3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4" t="s">
        <v>1085</v>
      </c>
    </row>
    <row r="286" customFormat="false" ht="15" hidden="false" customHeight="false" outlineLevel="0" collapsed="false">
      <c r="A286" s="2" t="n">
        <v>1346730</v>
      </c>
      <c r="B286" s="2" t="s">
        <v>1086</v>
      </c>
      <c r="C286" s="2" t="s">
        <v>1087</v>
      </c>
      <c r="D286" s="2" t="s">
        <v>58</v>
      </c>
      <c r="E286" s="2" t="s">
        <v>59</v>
      </c>
      <c r="F286" s="2" t="s">
        <v>60</v>
      </c>
      <c r="G286" s="2" t="s">
        <v>61</v>
      </c>
      <c r="H286" s="2" t="s">
        <v>61</v>
      </c>
      <c r="I286" s="2" t="n">
        <v>41</v>
      </c>
      <c r="J286" s="2" t="n">
        <v>28</v>
      </c>
      <c r="K286" s="2" t="s">
        <v>1088</v>
      </c>
      <c r="L286" s="2" t="s">
        <v>67</v>
      </c>
      <c r="M286" s="2" t="n">
        <v>188</v>
      </c>
      <c r="N286" s="3" t="n">
        <v>82944</v>
      </c>
      <c r="O286" s="2"/>
      <c r="P286" s="2" t="n">
        <v>15</v>
      </c>
      <c r="Q286" s="3" t="n">
        <v>1350</v>
      </c>
      <c r="R286" s="2" t="n">
        <v>6.56</v>
      </c>
      <c r="S286" s="2" t="n">
        <v>1</v>
      </c>
      <c r="T286" s="2"/>
      <c r="U286" s="2"/>
      <c r="V286" s="2" t="n">
        <v>1</v>
      </c>
      <c r="W286" s="2"/>
      <c r="X286" s="2"/>
      <c r="Y286" s="2"/>
      <c r="Z286" s="2"/>
      <c r="AA286" s="2"/>
      <c r="AB286" s="2"/>
      <c r="AC286" s="2" t="n">
        <v>1</v>
      </c>
      <c r="AD286" s="2" t="n">
        <v>0.1</v>
      </c>
      <c r="AE286" s="2"/>
      <c r="AF286" s="2" t="n">
        <v>16.3</v>
      </c>
      <c r="AG286" s="2" t="n">
        <v>69.6</v>
      </c>
      <c r="AH286" s="2"/>
      <c r="AI286" s="2"/>
      <c r="AJ286" s="2"/>
      <c r="AK286" s="2"/>
      <c r="AL286" s="2"/>
      <c r="AM286" s="2"/>
      <c r="AN286" s="2" t="n">
        <v>1</v>
      </c>
      <c r="AO286" s="2"/>
      <c r="AP286" s="2"/>
      <c r="AQ286" s="2" t="n">
        <v>1</v>
      </c>
      <c r="AR286" s="2"/>
      <c r="AS286" s="2" t="n">
        <v>7.1</v>
      </c>
      <c r="AT286" s="2"/>
      <c r="AU286" s="2"/>
      <c r="AV286" s="2"/>
      <c r="AW286" s="2" t="n">
        <v>1</v>
      </c>
      <c r="AX286" s="2"/>
      <c r="AY286" s="2"/>
      <c r="AZ286" s="2" t="n">
        <v>5</v>
      </c>
      <c r="BA286" s="2" t="n">
        <v>2.9</v>
      </c>
      <c r="BB286" s="2" t="n">
        <v>60.3</v>
      </c>
      <c r="BC286" s="2" t="n">
        <v>1.9</v>
      </c>
      <c r="BD286" s="4" t="s">
        <v>1089</v>
      </c>
    </row>
    <row r="287" customFormat="false" ht="15" hidden="false" customHeight="false" outlineLevel="0" collapsed="false">
      <c r="A287" s="2" t="n">
        <v>1078951</v>
      </c>
      <c r="B287" s="2" t="s">
        <v>1090</v>
      </c>
      <c r="C287" s="2" t="s">
        <v>1087</v>
      </c>
      <c r="D287" s="2" t="s">
        <v>58</v>
      </c>
      <c r="E287" s="2" t="s">
        <v>59</v>
      </c>
      <c r="F287" s="2" t="s">
        <v>60</v>
      </c>
      <c r="G287" s="2" t="s">
        <v>61</v>
      </c>
      <c r="H287" s="2" t="s">
        <v>61</v>
      </c>
      <c r="I287" s="2" t="n">
        <v>13</v>
      </c>
      <c r="J287" s="2" t="n">
        <v>31</v>
      </c>
      <c r="K287" s="2" t="s">
        <v>1091</v>
      </c>
      <c r="L287" s="2" t="s">
        <v>67</v>
      </c>
      <c r="M287" s="2" t="n">
        <v>188</v>
      </c>
      <c r="N287" s="3" t="n">
        <v>50000</v>
      </c>
      <c r="O287" s="2"/>
      <c r="P287" s="2" t="n">
        <v>3</v>
      </c>
      <c r="Q287" s="3" t="n">
        <v>270</v>
      </c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4" t="s">
        <v>1092</v>
      </c>
    </row>
    <row r="288" customFormat="false" ht="15" hidden="false" customHeight="false" outlineLevel="0" collapsed="false">
      <c r="A288" s="2" t="n">
        <v>825620</v>
      </c>
      <c r="B288" s="2" t="s">
        <v>1093</v>
      </c>
      <c r="C288" s="2" t="s">
        <v>1087</v>
      </c>
      <c r="D288" s="2" t="s">
        <v>58</v>
      </c>
      <c r="E288" s="2" t="s">
        <v>59</v>
      </c>
      <c r="F288" s="2" t="s">
        <v>70</v>
      </c>
      <c r="G288" s="2" t="s">
        <v>71</v>
      </c>
      <c r="H288" s="2" t="s">
        <v>791</v>
      </c>
      <c r="I288" s="2" t="n">
        <v>6</v>
      </c>
      <c r="J288" s="2" t="n">
        <v>30</v>
      </c>
      <c r="K288" s="2" t="s">
        <v>1094</v>
      </c>
      <c r="L288" s="2" t="s">
        <v>116</v>
      </c>
      <c r="M288" s="2" t="n">
        <v>173</v>
      </c>
      <c r="N288" s="3" t="n">
        <v>50000</v>
      </c>
      <c r="O288" s="2"/>
      <c r="P288" s="2" t="n">
        <v>25</v>
      </c>
      <c r="Q288" s="3" t="n">
        <v>2231</v>
      </c>
      <c r="R288" s="2" t="n">
        <v>6.85</v>
      </c>
      <c r="S288" s="2" t="n">
        <v>0</v>
      </c>
      <c r="T288" s="2"/>
      <c r="U288" s="2"/>
      <c r="V288" s="2" t="n">
        <v>2</v>
      </c>
      <c r="W288" s="2"/>
      <c r="X288" s="2"/>
      <c r="Y288" s="2" t="n">
        <v>0.2</v>
      </c>
      <c r="Z288" s="2" t="n">
        <v>0</v>
      </c>
      <c r="AA288" s="2" t="n">
        <v>0</v>
      </c>
      <c r="AB288" s="2"/>
      <c r="AC288" s="2" t="n">
        <v>25</v>
      </c>
      <c r="AD288" s="2" t="n">
        <v>1</v>
      </c>
      <c r="AE288" s="2" t="n">
        <v>5</v>
      </c>
      <c r="AF288" s="2" t="n">
        <v>39.4</v>
      </c>
      <c r="AG288" s="2" t="n">
        <v>79.5</v>
      </c>
      <c r="AH288" s="2" t="n">
        <v>2.1</v>
      </c>
      <c r="AI288" s="2" t="n">
        <v>35.7</v>
      </c>
      <c r="AJ288" s="2" t="n">
        <v>0.5</v>
      </c>
      <c r="AK288" s="2" t="n">
        <v>46.4</v>
      </c>
      <c r="AL288" s="2"/>
      <c r="AM288" s="2"/>
      <c r="AN288" s="2" t="n">
        <v>5</v>
      </c>
      <c r="AO288" s="2" t="n">
        <v>1.6</v>
      </c>
      <c r="AP288" s="2" t="n">
        <v>1</v>
      </c>
      <c r="AQ288" s="2" t="n">
        <v>2.3</v>
      </c>
      <c r="AR288" s="2" t="n">
        <v>0.1</v>
      </c>
      <c r="AS288" s="2" t="n">
        <v>5.2</v>
      </c>
      <c r="AT288" s="2" t="n">
        <v>0.3</v>
      </c>
      <c r="AU288" s="2" t="n">
        <v>2.1</v>
      </c>
      <c r="AV288" s="2" t="n">
        <v>0.8</v>
      </c>
      <c r="AW288" s="2" t="n">
        <v>6</v>
      </c>
      <c r="AX288" s="2"/>
      <c r="AY288" s="2"/>
      <c r="AZ288" s="2"/>
      <c r="BA288" s="2"/>
      <c r="BB288" s="2"/>
      <c r="BC288" s="2"/>
      <c r="BD288" s="4" t="s">
        <v>1095</v>
      </c>
    </row>
    <row r="289" customFormat="false" ht="15" hidden="false" customHeight="false" outlineLevel="0" collapsed="false">
      <c r="A289" s="2" t="n">
        <v>675538</v>
      </c>
      <c r="B289" s="2" t="s">
        <v>1096</v>
      </c>
      <c r="C289" s="2" t="s">
        <v>1087</v>
      </c>
      <c r="D289" s="2" t="s">
        <v>58</v>
      </c>
      <c r="E289" s="2" t="s">
        <v>59</v>
      </c>
      <c r="F289" s="2" t="s">
        <v>70</v>
      </c>
      <c r="G289" s="2" t="s">
        <v>75</v>
      </c>
      <c r="H289" s="2" t="s">
        <v>669</v>
      </c>
      <c r="I289" s="2" t="n">
        <v>21</v>
      </c>
      <c r="J289" s="2" t="n">
        <v>32</v>
      </c>
      <c r="K289" s="2" t="s">
        <v>1097</v>
      </c>
      <c r="L289" s="2" t="s">
        <v>522</v>
      </c>
      <c r="M289" s="2" t="n">
        <v>188</v>
      </c>
      <c r="N289" s="3" t="n">
        <v>50000</v>
      </c>
      <c r="O289" s="2"/>
      <c r="P289" s="2" t="n">
        <v>25</v>
      </c>
      <c r="Q289" s="3" t="n">
        <v>2205</v>
      </c>
      <c r="R289" s="2" t="n">
        <v>7</v>
      </c>
      <c r="S289" s="2" t="n">
        <v>0</v>
      </c>
      <c r="T289" s="2" t="n">
        <v>1</v>
      </c>
      <c r="U289" s="2" t="n">
        <v>0</v>
      </c>
      <c r="V289" s="2"/>
      <c r="W289" s="2"/>
      <c r="X289" s="2" t="n">
        <v>0.04</v>
      </c>
      <c r="Y289" s="2" t="n">
        <v>0.5</v>
      </c>
      <c r="Z289" s="2" t="n">
        <v>0.1</v>
      </c>
      <c r="AA289" s="2" t="n">
        <v>8.3</v>
      </c>
      <c r="AB289" s="2" t="n">
        <v>2</v>
      </c>
      <c r="AC289" s="2" t="n">
        <v>7</v>
      </c>
      <c r="AD289" s="2" t="n">
        <v>0.3</v>
      </c>
      <c r="AE289" s="2" t="n">
        <v>1</v>
      </c>
      <c r="AF289" s="2" t="n">
        <v>36.9</v>
      </c>
      <c r="AG289" s="2" t="n">
        <v>84.6</v>
      </c>
      <c r="AH289" s="2" t="n">
        <v>1.1</v>
      </c>
      <c r="AI289" s="2" t="n">
        <v>30.2</v>
      </c>
      <c r="AJ289" s="2" t="n">
        <v>0.4</v>
      </c>
      <c r="AK289" s="2" t="n">
        <v>76.9</v>
      </c>
      <c r="AL289" s="2"/>
      <c r="AM289" s="2"/>
      <c r="AN289" s="2" t="n">
        <v>8</v>
      </c>
      <c r="AO289" s="2" t="n">
        <v>2.4</v>
      </c>
      <c r="AP289" s="2" t="n">
        <v>1.3</v>
      </c>
      <c r="AQ289" s="2" t="n">
        <v>3.6</v>
      </c>
      <c r="AR289" s="2" t="n">
        <v>0.6</v>
      </c>
      <c r="AS289" s="2" t="n">
        <v>3.7</v>
      </c>
      <c r="AT289" s="2" t="n">
        <v>0.2</v>
      </c>
      <c r="AU289" s="2" t="n">
        <v>1.6</v>
      </c>
      <c r="AV289" s="2" t="n">
        <v>1.4</v>
      </c>
      <c r="AW289" s="2" t="n">
        <v>9</v>
      </c>
      <c r="AX289" s="2"/>
      <c r="AY289" s="2"/>
      <c r="AZ289" s="2"/>
      <c r="BA289" s="2"/>
      <c r="BB289" s="2"/>
      <c r="BC289" s="2"/>
      <c r="BD289" s="4" t="s">
        <v>1098</v>
      </c>
    </row>
    <row r="290" customFormat="false" ht="15" hidden="false" customHeight="false" outlineLevel="0" collapsed="false">
      <c r="A290" s="2" t="n">
        <v>1719157</v>
      </c>
      <c r="B290" s="2" t="s">
        <v>1099</v>
      </c>
      <c r="C290" s="2" t="s">
        <v>1087</v>
      </c>
      <c r="D290" s="2" t="s">
        <v>58</v>
      </c>
      <c r="E290" s="2" t="s">
        <v>59</v>
      </c>
      <c r="F290" s="2" t="s">
        <v>70</v>
      </c>
      <c r="G290" s="2" t="s">
        <v>75</v>
      </c>
      <c r="H290" s="2" t="s">
        <v>352</v>
      </c>
      <c r="I290" s="2" t="n">
        <v>2</v>
      </c>
      <c r="J290" s="2" t="n">
        <v>24</v>
      </c>
      <c r="K290" s="2" t="s">
        <v>1100</v>
      </c>
      <c r="L290" s="2" t="s">
        <v>67</v>
      </c>
      <c r="M290" s="2" t="n">
        <v>187</v>
      </c>
      <c r="N290" s="3" t="n">
        <v>198920</v>
      </c>
      <c r="O290" s="2"/>
      <c r="P290" s="2" t="n">
        <v>23</v>
      </c>
      <c r="Q290" s="3" t="n">
        <v>1494</v>
      </c>
      <c r="R290" s="2" t="n">
        <v>6.61</v>
      </c>
      <c r="S290" s="2" t="n">
        <v>0</v>
      </c>
      <c r="T290" s="2"/>
      <c r="U290" s="2"/>
      <c r="V290" s="2"/>
      <c r="W290" s="2"/>
      <c r="X290" s="2"/>
      <c r="Y290" s="2" t="n">
        <v>0.5</v>
      </c>
      <c r="Z290" s="2" t="n">
        <v>0.1</v>
      </c>
      <c r="AA290" s="2" t="n">
        <v>0</v>
      </c>
      <c r="AB290" s="2" t="n">
        <v>1</v>
      </c>
      <c r="AC290" s="2" t="n">
        <v>4</v>
      </c>
      <c r="AD290" s="2" t="n">
        <v>0.2</v>
      </c>
      <c r="AE290" s="2" t="n">
        <v>1</v>
      </c>
      <c r="AF290" s="2" t="n">
        <v>35.9</v>
      </c>
      <c r="AG290" s="2" t="n">
        <v>81.1</v>
      </c>
      <c r="AH290" s="2" t="n">
        <v>2.7</v>
      </c>
      <c r="AI290" s="2" t="n">
        <v>40.9</v>
      </c>
      <c r="AJ290" s="2" t="n">
        <v>0.2</v>
      </c>
      <c r="AK290" s="2" t="n">
        <v>37.5</v>
      </c>
      <c r="AL290" s="2"/>
      <c r="AM290" s="2"/>
      <c r="AN290" s="2" t="n">
        <v>7.6</v>
      </c>
      <c r="AO290" s="2" t="n">
        <v>1.6</v>
      </c>
      <c r="AP290" s="2" t="n">
        <v>1.1</v>
      </c>
      <c r="AQ290" s="2" t="n">
        <v>3.9</v>
      </c>
      <c r="AR290" s="2" t="n">
        <v>1</v>
      </c>
      <c r="AS290" s="2" t="n">
        <v>2.6</v>
      </c>
      <c r="AT290" s="2" t="n">
        <v>0.1</v>
      </c>
      <c r="AU290" s="2" t="n">
        <v>0.9</v>
      </c>
      <c r="AV290" s="2" t="n">
        <v>1.3</v>
      </c>
      <c r="AW290" s="2" t="n">
        <v>5</v>
      </c>
      <c r="AX290" s="2"/>
      <c r="AY290" s="2"/>
      <c r="AZ290" s="2"/>
      <c r="BA290" s="2"/>
      <c r="BB290" s="2"/>
      <c r="BC290" s="2"/>
      <c r="BD290" s="4" t="s">
        <v>1101</v>
      </c>
    </row>
    <row r="291" customFormat="false" ht="15" hidden="false" customHeight="false" outlineLevel="0" collapsed="false">
      <c r="A291" s="2" t="n">
        <v>915626</v>
      </c>
      <c r="B291" s="2" t="s">
        <v>1102</v>
      </c>
      <c r="C291" s="2" t="s">
        <v>1087</v>
      </c>
      <c r="D291" s="2" t="s">
        <v>58</v>
      </c>
      <c r="E291" s="2" t="s">
        <v>59</v>
      </c>
      <c r="F291" s="2" t="s">
        <v>70</v>
      </c>
      <c r="G291" s="2" t="s">
        <v>92</v>
      </c>
      <c r="H291" s="2" t="s">
        <v>1103</v>
      </c>
      <c r="I291" s="2" t="n">
        <v>7</v>
      </c>
      <c r="J291" s="2" t="n">
        <v>26</v>
      </c>
      <c r="K291" s="2" t="s">
        <v>1104</v>
      </c>
      <c r="L291" s="2" t="s">
        <v>1105</v>
      </c>
      <c r="M291" s="2" t="n">
        <v>173</v>
      </c>
      <c r="N291" s="3" t="n">
        <v>82709</v>
      </c>
      <c r="O291" s="2"/>
      <c r="P291" s="2" t="n">
        <v>19</v>
      </c>
      <c r="Q291" s="3" t="n">
        <v>1371</v>
      </c>
      <c r="R291" s="2" t="n">
        <v>7.12</v>
      </c>
      <c r="S291" s="2" t="n">
        <v>1</v>
      </c>
      <c r="T291" s="2"/>
      <c r="U291" s="2"/>
      <c r="V291" s="2" t="n">
        <v>2</v>
      </c>
      <c r="W291" s="2"/>
      <c r="X291" s="2"/>
      <c r="Y291" s="2" t="n">
        <v>1</v>
      </c>
      <c r="Z291" s="2" t="n">
        <v>0.3</v>
      </c>
      <c r="AA291" s="2" t="n">
        <v>0</v>
      </c>
      <c r="AB291" s="2" t="n">
        <v>1</v>
      </c>
      <c r="AC291" s="2" t="n">
        <v>19</v>
      </c>
      <c r="AD291" s="2" t="n">
        <v>1.2</v>
      </c>
      <c r="AE291" s="2" t="n">
        <v>4</v>
      </c>
      <c r="AF291" s="2" t="n">
        <v>26.7</v>
      </c>
      <c r="AG291" s="2" t="n">
        <v>80.6</v>
      </c>
      <c r="AH291" s="2" t="n">
        <v>1.1</v>
      </c>
      <c r="AI291" s="2" t="n">
        <v>42.5</v>
      </c>
      <c r="AJ291" s="2" t="n">
        <v>2</v>
      </c>
      <c r="AK291" s="2" t="n">
        <v>54.4</v>
      </c>
      <c r="AL291" s="2"/>
      <c r="AM291" s="2"/>
      <c r="AN291" s="2" t="n">
        <v>6.1</v>
      </c>
      <c r="AO291" s="2" t="n">
        <v>2.6</v>
      </c>
      <c r="AP291" s="2" t="n">
        <v>1.2</v>
      </c>
      <c r="AQ291" s="2" t="n">
        <v>2.2</v>
      </c>
      <c r="AR291" s="2" t="n">
        <v>0.1</v>
      </c>
      <c r="AS291" s="2" t="n">
        <v>5.1</v>
      </c>
      <c r="AT291" s="2" t="n">
        <v>0.3</v>
      </c>
      <c r="AU291" s="2" t="n">
        <v>2</v>
      </c>
      <c r="AV291" s="2" t="n">
        <v>1.2</v>
      </c>
      <c r="AW291" s="2" t="n">
        <v>4</v>
      </c>
      <c r="AX291" s="2"/>
      <c r="AY291" s="2" t="n">
        <v>2</v>
      </c>
      <c r="AZ291" s="2"/>
      <c r="BA291" s="2"/>
      <c r="BB291" s="2"/>
      <c r="BC291" s="2"/>
      <c r="BD291" s="4" t="s">
        <v>1106</v>
      </c>
    </row>
    <row r="292" customFormat="false" ht="15" hidden="false" customHeight="false" outlineLevel="0" collapsed="false">
      <c r="A292" s="2" t="n">
        <v>1500407</v>
      </c>
      <c r="B292" s="2" t="s">
        <v>1107</v>
      </c>
      <c r="C292" s="2" t="s">
        <v>1087</v>
      </c>
      <c r="D292" s="2" t="s">
        <v>58</v>
      </c>
      <c r="E292" s="2" t="s">
        <v>59</v>
      </c>
      <c r="F292" s="2" t="s">
        <v>70</v>
      </c>
      <c r="G292" s="2" t="s">
        <v>75</v>
      </c>
      <c r="H292" s="2" t="s">
        <v>75</v>
      </c>
      <c r="I292" s="2" t="n">
        <v>5</v>
      </c>
      <c r="J292" s="2" t="n">
        <v>24</v>
      </c>
      <c r="K292" s="2" t="s">
        <v>1108</v>
      </c>
      <c r="L292" s="2" t="s">
        <v>116</v>
      </c>
      <c r="M292" s="2" t="n">
        <v>185</v>
      </c>
      <c r="N292" s="3" t="n">
        <v>269568</v>
      </c>
      <c r="O292" s="2"/>
      <c r="P292" s="2" t="n">
        <v>17</v>
      </c>
      <c r="Q292" s="3" t="n">
        <v>1186</v>
      </c>
      <c r="R292" s="2" t="n">
        <v>6.55</v>
      </c>
      <c r="S292" s="2" t="n">
        <v>0</v>
      </c>
      <c r="T292" s="2"/>
      <c r="U292" s="2"/>
      <c r="V292" s="2"/>
      <c r="W292" s="2"/>
      <c r="X292" s="2"/>
      <c r="Y292" s="2" t="n">
        <v>0.5</v>
      </c>
      <c r="Z292" s="2" t="n">
        <v>0.2</v>
      </c>
      <c r="AA292" s="2" t="n">
        <v>0</v>
      </c>
      <c r="AB292" s="2" t="n">
        <v>1</v>
      </c>
      <c r="AC292" s="2" t="n">
        <v>1</v>
      </c>
      <c r="AD292" s="2" t="n">
        <v>0.1</v>
      </c>
      <c r="AE292" s="2"/>
      <c r="AF292" s="2" t="n">
        <v>48.6</v>
      </c>
      <c r="AG292" s="2" t="n">
        <v>87.6</v>
      </c>
      <c r="AH292" s="2" t="n">
        <v>3.1</v>
      </c>
      <c r="AI292" s="2" t="n">
        <v>42.3</v>
      </c>
      <c r="AJ292" s="2" t="n">
        <v>0.1</v>
      </c>
      <c r="AK292" s="2" t="n">
        <v>50</v>
      </c>
      <c r="AL292" s="2"/>
      <c r="AM292" s="2"/>
      <c r="AN292" s="2" t="n">
        <v>8.2</v>
      </c>
      <c r="AO292" s="2" t="n">
        <v>0.5</v>
      </c>
      <c r="AP292" s="2" t="n">
        <v>1.3</v>
      </c>
      <c r="AQ292" s="2" t="n">
        <v>5.2</v>
      </c>
      <c r="AR292" s="2" t="n">
        <v>1.1</v>
      </c>
      <c r="AS292" s="2" t="n">
        <v>4.2</v>
      </c>
      <c r="AT292" s="2" t="n">
        <v>0.1</v>
      </c>
      <c r="AU292" s="2" t="n">
        <v>1.4</v>
      </c>
      <c r="AV292" s="2" t="n">
        <v>0.8</v>
      </c>
      <c r="AW292" s="2" t="n">
        <v>1</v>
      </c>
      <c r="AX292" s="2"/>
      <c r="AY292" s="2" t="n">
        <v>2</v>
      </c>
      <c r="AZ292" s="2"/>
      <c r="BA292" s="2"/>
      <c r="BB292" s="2"/>
      <c r="BC292" s="2"/>
      <c r="BD292" s="4" t="s">
        <v>1109</v>
      </c>
    </row>
    <row r="293" customFormat="false" ht="15" hidden="false" customHeight="false" outlineLevel="0" collapsed="false">
      <c r="A293" s="2" t="n">
        <v>1338758</v>
      </c>
      <c r="B293" s="2" t="s">
        <v>1110</v>
      </c>
      <c r="C293" s="2" t="s">
        <v>1087</v>
      </c>
      <c r="D293" s="2" t="s">
        <v>58</v>
      </c>
      <c r="E293" s="2" t="s">
        <v>59</v>
      </c>
      <c r="F293" s="2" t="s">
        <v>70</v>
      </c>
      <c r="G293" s="2" t="s">
        <v>75</v>
      </c>
      <c r="H293" s="2" t="s">
        <v>75</v>
      </c>
      <c r="I293" s="2" t="n">
        <v>24</v>
      </c>
      <c r="J293" s="2" t="n">
        <v>27</v>
      </c>
      <c r="K293" s="2" t="s">
        <v>1111</v>
      </c>
      <c r="L293" s="2" t="s">
        <v>67</v>
      </c>
      <c r="M293" s="2" t="n">
        <v>186</v>
      </c>
      <c r="N293" s="3" t="n">
        <v>52929</v>
      </c>
      <c r="O293" s="2"/>
      <c r="P293" s="2" t="n">
        <v>13</v>
      </c>
      <c r="Q293" s="3" t="n">
        <v>1026</v>
      </c>
      <c r="R293" s="2" t="n">
        <v>6.87</v>
      </c>
      <c r="S293" s="2" t="n">
        <v>0</v>
      </c>
      <c r="T293" s="2"/>
      <c r="U293" s="2"/>
      <c r="V293" s="2"/>
      <c r="W293" s="2"/>
      <c r="X293" s="2"/>
      <c r="Y293" s="2" t="n">
        <v>0.5</v>
      </c>
      <c r="Z293" s="2" t="n">
        <v>0.1</v>
      </c>
      <c r="AA293" s="2" t="n">
        <v>0</v>
      </c>
      <c r="AB293" s="2" t="n">
        <v>1</v>
      </c>
      <c r="AC293" s="2" t="n">
        <v>1</v>
      </c>
      <c r="AD293" s="2" t="n">
        <v>0.1</v>
      </c>
      <c r="AE293" s="2"/>
      <c r="AF293" s="2" t="n">
        <v>41</v>
      </c>
      <c r="AG293" s="2" t="n">
        <v>83.5</v>
      </c>
      <c r="AH293" s="2" t="n">
        <v>3.2</v>
      </c>
      <c r="AI293" s="2" t="n">
        <v>42.4</v>
      </c>
      <c r="AJ293" s="2"/>
      <c r="AK293" s="2"/>
      <c r="AL293" s="2"/>
      <c r="AM293" s="2"/>
      <c r="AN293" s="2" t="n">
        <v>11.5</v>
      </c>
      <c r="AO293" s="2" t="n">
        <v>1.7</v>
      </c>
      <c r="AP293" s="2" t="n">
        <v>1.3</v>
      </c>
      <c r="AQ293" s="2" t="n">
        <v>7.5</v>
      </c>
      <c r="AR293" s="2" t="n">
        <v>1</v>
      </c>
      <c r="AS293" s="2" t="n">
        <v>3.7</v>
      </c>
      <c r="AT293" s="2" t="n">
        <v>0.2</v>
      </c>
      <c r="AU293" s="2" t="n">
        <v>1.1</v>
      </c>
      <c r="AV293" s="2" t="n">
        <v>1.6</v>
      </c>
      <c r="AW293" s="2" t="n">
        <v>2</v>
      </c>
      <c r="AX293" s="2"/>
      <c r="AY293" s="2"/>
      <c r="AZ293" s="2"/>
      <c r="BA293" s="2"/>
      <c r="BB293" s="2"/>
      <c r="BC293" s="2"/>
      <c r="BD293" s="4" t="s">
        <v>1112</v>
      </c>
    </row>
    <row r="294" customFormat="false" ht="15" hidden="false" customHeight="false" outlineLevel="0" collapsed="false">
      <c r="A294" s="2" t="n">
        <v>1611219</v>
      </c>
      <c r="B294" s="2" t="s">
        <v>1113</v>
      </c>
      <c r="C294" s="2" t="s">
        <v>1087</v>
      </c>
      <c r="D294" s="2" t="s">
        <v>58</v>
      </c>
      <c r="E294" s="2" t="s">
        <v>59</v>
      </c>
      <c r="F294" s="2" t="s">
        <v>70</v>
      </c>
      <c r="G294" s="2" t="s">
        <v>75</v>
      </c>
      <c r="H294" s="2" t="s">
        <v>75</v>
      </c>
      <c r="I294" s="2" t="n">
        <v>4</v>
      </c>
      <c r="J294" s="2" t="n">
        <v>24</v>
      </c>
      <c r="K294" s="2" t="s">
        <v>1114</v>
      </c>
      <c r="L294" s="2" t="s">
        <v>67</v>
      </c>
      <c r="M294" s="2" t="n">
        <v>193</v>
      </c>
      <c r="N294" s="3" t="n">
        <v>188744</v>
      </c>
      <c r="O294" s="2"/>
      <c r="P294" s="2"/>
      <c r="Q294" s="3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4" t="s">
        <v>1115</v>
      </c>
    </row>
    <row r="295" customFormat="false" ht="15" hidden="false" customHeight="false" outlineLevel="0" collapsed="false">
      <c r="A295" s="2" t="n">
        <v>1109656</v>
      </c>
      <c r="B295" s="2" t="s">
        <v>1116</v>
      </c>
      <c r="C295" s="2" t="s">
        <v>1087</v>
      </c>
      <c r="D295" s="2" t="s">
        <v>58</v>
      </c>
      <c r="E295" s="2" t="s">
        <v>59</v>
      </c>
      <c r="F295" s="2" t="s">
        <v>70</v>
      </c>
      <c r="G295" s="2" t="s">
        <v>658</v>
      </c>
      <c r="H295" s="2" t="s">
        <v>658</v>
      </c>
      <c r="I295" s="2" t="n">
        <v>12</v>
      </c>
      <c r="J295" s="2" t="n">
        <v>27</v>
      </c>
      <c r="K295" s="2" t="s">
        <v>1117</v>
      </c>
      <c r="L295" s="2" t="s">
        <v>67</v>
      </c>
      <c r="M295" s="2" t="n">
        <v>175</v>
      </c>
      <c r="N295" s="3" t="n">
        <v>79818</v>
      </c>
      <c r="O295" s="2"/>
      <c r="P295" s="2"/>
      <c r="Q295" s="3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4" t="s">
        <v>1118</v>
      </c>
    </row>
    <row r="296" customFormat="false" ht="15" hidden="false" customHeight="false" outlineLevel="0" collapsed="false">
      <c r="A296" s="2" t="n">
        <v>2030039</v>
      </c>
      <c r="B296" s="2" t="s">
        <v>1119</v>
      </c>
      <c r="C296" s="2" t="s">
        <v>1087</v>
      </c>
      <c r="D296" s="2" t="s">
        <v>58</v>
      </c>
      <c r="E296" s="2" t="s">
        <v>59</v>
      </c>
      <c r="F296" s="2" t="s">
        <v>70</v>
      </c>
      <c r="G296" s="2"/>
      <c r="H296" s="2"/>
      <c r="I296" s="2" t="n">
        <v>38</v>
      </c>
      <c r="J296" s="2" t="n">
        <v>19</v>
      </c>
      <c r="K296" s="2" t="s">
        <v>1120</v>
      </c>
      <c r="L296" s="2" t="s">
        <v>67</v>
      </c>
      <c r="M296" s="2"/>
      <c r="N296" s="3"/>
      <c r="O296" s="2"/>
      <c r="P296" s="2"/>
      <c r="Q296" s="3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4" t="s">
        <v>1121</v>
      </c>
    </row>
    <row r="297" customFormat="false" ht="15" hidden="false" customHeight="false" outlineLevel="0" collapsed="false">
      <c r="A297" s="2" t="n">
        <v>780567</v>
      </c>
      <c r="B297" s="2" t="s">
        <v>1122</v>
      </c>
      <c r="C297" s="2" t="s">
        <v>1087</v>
      </c>
      <c r="D297" s="2" t="s">
        <v>58</v>
      </c>
      <c r="E297" s="2" t="s">
        <v>59</v>
      </c>
      <c r="F297" s="2" t="s">
        <v>102</v>
      </c>
      <c r="G297" s="2" t="s">
        <v>103</v>
      </c>
      <c r="H297" s="2" t="s">
        <v>123</v>
      </c>
      <c r="I297" s="2" t="n">
        <v>8</v>
      </c>
      <c r="J297" s="2" t="n">
        <v>29</v>
      </c>
      <c r="K297" s="2" t="s">
        <v>882</v>
      </c>
      <c r="L297" s="2" t="s">
        <v>67</v>
      </c>
      <c r="M297" s="2" t="n">
        <v>180</v>
      </c>
      <c r="N297" s="3" t="n">
        <v>82944</v>
      </c>
      <c r="O297" s="2"/>
      <c r="P297" s="2" t="n">
        <v>24</v>
      </c>
      <c r="Q297" s="3" t="n">
        <v>1904</v>
      </c>
      <c r="R297" s="2" t="n">
        <v>6.95</v>
      </c>
      <c r="S297" s="2" t="n">
        <v>0</v>
      </c>
      <c r="T297" s="2" t="n">
        <v>1</v>
      </c>
      <c r="U297" s="2" t="n">
        <v>0</v>
      </c>
      <c r="V297" s="2" t="n">
        <v>3</v>
      </c>
      <c r="W297" s="2"/>
      <c r="X297" s="2" t="n">
        <v>0.05</v>
      </c>
      <c r="Y297" s="2" t="n">
        <v>1</v>
      </c>
      <c r="Z297" s="2" t="n">
        <v>0.3</v>
      </c>
      <c r="AA297" s="2" t="n">
        <v>4.6</v>
      </c>
      <c r="AB297" s="2" t="n">
        <v>2</v>
      </c>
      <c r="AC297" s="2" t="n">
        <v>17</v>
      </c>
      <c r="AD297" s="2" t="n">
        <v>0.8</v>
      </c>
      <c r="AE297" s="2" t="n">
        <v>4</v>
      </c>
      <c r="AF297" s="2" t="n">
        <v>38.3</v>
      </c>
      <c r="AG297" s="2" t="n">
        <v>80.7</v>
      </c>
      <c r="AH297" s="2" t="n">
        <v>2.6</v>
      </c>
      <c r="AI297" s="2" t="n">
        <v>44.4</v>
      </c>
      <c r="AJ297" s="2" t="n">
        <v>0</v>
      </c>
      <c r="AK297" s="2" t="n">
        <v>50</v>
      </c>
      <c r="AL297" s="2" t="n">
        <v>1</v>
      </c>
      <c r="AM297" s="2" t="n">
        <v>0.7</v>
      </c>
      <c r="AN297" s="2" t="n">
        <v>4.8</v>
      </c>
      <c r="AO297" s="2" t="n">
        <v>1.9</v>
      </c>
      <c r="AP297" s="2" t="n">
        <v>0.7</v>
      </c>
      <c r="AQ297" s="2" t="n">
        <v>1.7</v>
      </c>
      <c r="AR297" s="2" t="n">
        <v>0.5</v>
      </c>
      <c r="AS297" s="2" t="n">
        <v>3.9</v>
      </c>
      <c r="AT297" s="2" t="n">
        <v>0.1</v>
      </c>
      <c r="AU297" s="2" t="n">
        <v>1.9</v>
      </c>
      <c r="AV297" s="2" t="n">
        <v>0.6</v>
      </c>
      <c r="AW297" s="2" t="n">
        <v>3</v>
      </c>
      <c r="AX297" s="2" t="n">
        <v>1</v>
      </c>
      <c r="AY297" s="2" t="n">
        <v>1</v>
      </c>
      <c r="AZ297" s="2"/>
      <c r="BA297" s="2"/>
      <c r="BB297" s="2"/>
      <c r="BC297" s="2"/>
      <c r="BD297" s="4" t="s">
        <v>1123</v>
      </c>
    </row>
    <row r="298" customFormat="false" ht="15" hidden="false" customHeight="false" outlineLevel="0" collapsed="false">
      <c r="A298" s="2" t="n">
        <v>1459269</v>
      </c>
      <c r="B298" s="2" t="s">
        <v>1124</v>
      </c>
      <c r="C298" s="2" t="s">
        <v>1087</v>
      </c>
      <c r="D298" s="2" t="s">
        <v>58</v>
      </c>
      <c r="E298" s="2" t="s">
        <v>59</v>
      </c>
      <c r="F298" s="2" t="s">
        <v>102</v>
      </c>
      <c r="G298" s="2" t="s">
        <v>138</v>
      </c>
      <c r="H298" s="2" t="s">
        <v>1125</v>
      </c>
      <c r="I298" s="2" t="n">
        <v>19</v>
      </c>
      <c r="J298" s="2" t="n">
        <v>22</v>
      </c>
      <c r="K298" s="2" t="s">
        <v>1126</v>
      </c>
      <c r="L298" s="2" t="s">
        <v>67</v>
      </c>
      <c r="M298" s="2" t="n">
        <v>173</v>
      </c>
      <c r="N298" s="3"/>
      <c r="O298" s="2"/>
      <c r="P298" s="2" t="n">
        <v>25</v>
      </c>
      <c r="Q298" s="3" t="n">
        <v>1719</v>
      </c>
      <c r="R298" s="2" t="n">
        <v>6.94</v>
      </c>
      <c r="S298" s="2" t="n">
        <v>1</v>
      </c>
      <c r="T298" s="2" t="n">
        <v>1</v>
      </c>
      <c r="U298" s="2" t="n">
        <v>0</v>
      </c>
      <c r="V298" s="2" t="n">
        <v>5</v>
      </c>
      <c r="W298" s="2"/>
      <c r="X298" s="2" t="n">
        <v>0.05</v>
      </c>
      <c r="Y298" s="2" t="n">
        <v>0.9</v>
      </c>
      <c r="Z298" s="2" t="n">
        <v>0.3</v>
      </c>
      <c r="AA298" s="2" t="n">
        <v>5.6</v>
      </c>
      <c r="AB298" s="2" t="n">
        <v>4</v>
      </c>
      <c r="AC298" s="2" t="n">
        <v>34</v>
      </c>
      <c r="AD298" s="2" t="n">
        <v>1.8</v>
      </c>
      <c r="AE298" s="2" t="n">
        <v>7</v>
      </c>
      <c r="AF298" s="2" t="n">
        <v>24.6</v>
      </c>
      <c r="AG298" s="2" t="n">
        <v>85.1</v>
      </c>
      <c r="AH298" s="2" t="n">
        <v>0.6</v>
      </c>
      <c r="AI298" s="2" t="n">
        <v>60</v>
      </c>
      <c r="AJ298" s="2" t="n">
        <v>1.8</v>
      </c>
      <c r="AK298" s="2" t="n">
        <v>45.3</v>
      </c>
      <c r="AL298" s="2"/>
      <c r="AM298" s="2"/>
      <c r="AN298" s="2" t="n">
        <v>1.8</v>
      </c>
      <c r="AO298" s="2" t="n">
        <v>0.9</v>
      </c>
      <c r="AP298" s="2" t="n">
        <v>0.4</v>
      </c>
      <c r="AQ298" s="2" t="n">
        <v>0.5</v>
      </c>
      <c r="AR298" s="2"/>
      <c r="AS298" s="2" t="n">
        <v>3.7</v>
      </c>
      <c r="AT298" s="2" t="n">
        <v>0.6</v>
      </c>
      <c r="AU298" s="2" t="n">
        <v>1.8</v>
      </c>
      <c r="AV298" s="2" t="n">
        <v>1.1</v>
      </c>
      <c r="AW298" s="2" t="n">
        <v>2</v>
      </c>
      <c r="AX298" s="2"/>
      <c r="AY298" s="2"/>
      <c r="AZ298" s="2"/>
      <c r="BA298" s="2"/>
      <c r="BB298" s="2"/>
      <c r="BC298" s="2"/>
      <c r="BD298" s="4" t="s">
        <v>1127</v>
      </c>
    </row>
    <row r="299" customFormat="false" ht="15" hidden="false" customHeight="false" outlineLevel="0" collapsed="false">
      <c r="A299" s="2" t="n">
        <v>281628</v>
      </c>
      <c r="B299" s="2" t="s">
        <v>1128</v>
      </c>
      <c r="C299" s="2" t="s">
        <v>1087</v>
      </c>
      <c r="D299" s="2" t="s">
        <v>58</v>
      </c>
      <c r="E299" s="2" t="s">
        <v>59</v>
      </c>
      <c r="F299" s="2" t="s">
        <v>102</v>
      </c>
      <c r="G299" s="2" t="s">
        <v>133</v>
      </c>
      <c r="H299" s="2" t="s">
        <v>593</v>
      </c>
      <c r="I299" s="2" t="n">
        <v>10</v>
      </c>
      <c r="J299" s="2" t="n">
        <v>38</v>
      </c>
      <c r="K299" s="2" t="s">
        <v>1129</v>
      </c>
      <c r="L299" s="2" t="s">
        <v>1130</v>
      </c>
      <c r="M299" s="2" t="n">
        <v>170</v>
      </c>
      <c r="N299" s="3" t="n">
        <v>50000</v>
      </c>
      <c r="O299" s="2"/>
      <c r="P299" s="2" t="n">
        <v>16</v>
      </c>
      <c r="Q299" s="3" t="n">
        <v>856</v>
      </c>
      <c r="R299" s="2" t="n">
        <v>6.71</v>
      </c>
      <c r="S299" s="2" t="n">
        <v>0</v>
      </c>
      <c r="T299" s="2" t="n">
        <v>1</v>
      </c>
      <c r="U299" s="2" t="n">
        <v>1</v>
      </c>
      <c r="V299" s="2" t="n">
        <v>1</v>
      </c>
      <c r="W299" s="2"/>
      <c r="X299" s="2" t="n">
        <v>0.11</v>
      </c>
      <c r="Y299" s="2" t="n">
        <v>1.7</v>
      </c>
      <c r="Z299" s="2" t="n">
        <v>0.2</v>
      </c>
      <c r="AA299" s="2" t="n">
        <v>6.3</v>
      </c>
      <c r="AB299" s="2"/>
      <c r="AC299" s="2" t="n">
        <v>11</v>
      </c>
      <c r="AD299" s="2" t="n">
        <v>1.2</v>
      </c>
      <c r="AE299" s="2" t="n">
        <v>1</v>
      </c>
      <c r="AF299" s="2" t="n">
        <v>26.8</v>
      </c>
      <c r="AG299" s="2" t="n">
        <v>75.2</v>
      </c>
      <c r="AH299" s="2" t="n">
        <v>2.7</v>
      </c>
      <c r="AI299" s="2" t="n">
        <v>52</v>
      </c>
      <c r="AJ299" s="2" t="n">
        <v>0.4</v>
      </c>
      <c r="AK299" s="2" t="n">
        <v>66.7</v>
      </c>
      <c r="AL299" s="2"/>
      <c r="AM299" s="2"/>
      <c r="AN299" s="2" t="n">
        <v>4.1</v>
      </c>
      <c r="AO299" s="2" t="n">
        <v>2.3</v>
      </c>
      <c r="AP299" s="2" t="n">
        <v>0.7</v>
      </c>
      <c r="AQ299" s="2" t="n">
        <v>1.1</v>
      </c>
      <c r="AR299" s="2"/>
      <c r="AS299" s="2" t="n">
        <v>3.8</v>
      </c>
      <c r="AT299" s="2" t="n">
        <v>0.6</v>
      </c>
      <c r="AU299" s="2" t="n">
        <v>2.3</v>
      </c>
      <c r="AV299" s="2" t="n">
        <v>1.6</v>
      </c>
      <c r="AW299" s="2" t="n">
        <v>4</v>
      </c>
      <c r="AX299" s="2"/>
      <c r="AY299" s="2"/>
      <c r="AZ299" s="2"/>
      <c r="BA299" s="2"/>
      <c r="BB299" s="2"/>
      <c r="BC299" s="2"/>
      <c r="BD299" s="4" t="s">
        <v>1131</v>
      </c>
    </row>
    <row r="300" customFormat="false" ht="15" hidden="false" customHeight="false" outlineLevel="0" collapsed="false">
      <c r="A300" s="2" t="n">
        <v>1358177</v>
      </c>
      <c r="B300" s="2" t="s">
        <v>1132</v>
      </c>
      <c r="C300" s="2" t="s">
        <v>1087</v>
      </c>
      <c r="D300" s="2" t="s">
        <v>58</v>
      </c>
      <c r="E300" s="2" t="s">
        <v>59</v>
      </c>
      <c r="F300" s="2" t="s">
        <v>102</v>
      </c>
      <c r="G300" s="2" t="s">
        <v>113</v>
      </c>
      <c r="H300" s="2" t="s">
        <v>1133</v>
      </c>
      <c r="I300" s="2" t="n">
        <v>16</v>
      </c>
      <c r="J300" s="2" t="n">
        <v>22</v>
      </c>
      <c r="K300" s="2" t="s">
        <v>1134</v>
      </c>
      <c r="L300" s="2" t="s">
        <v>67</v>
      </c>
      <c r="M300" s="2" t="n">
        <v>175</v>
      </c>
      <c r="N300" s="3" t="n">
        <v>132369</v>
      </c>
      <c r="O300" s="2"/>
      <c r="P300" s="2" t="n">
        <v>13</v>
      </c>
      <c r="Q300" s="3" t="n">
        <v>544</v>
      </c>
      <c r="R300" s="2"/>
      <c r="S300" s="2"/>
      <c r="T300" s="2"/>
      <c r="U300" s="2"/>
      <c r="V300" s="2"/>
      <c r="W300" s="2"/>
      <c r="X300" s="2"/>
      <c r="Y300" s="2" t="n">
        <v>1.8</v>
      </c>
      <c r="Z300" s="2"/>
      <c r="AA300" s="2" t="n">
        <v>0</v>
      </c>
      <c r="AB300" s="2" t="n">
        <v>2</v>
      </c>
      <c r="AC300" s="2" t="n">
        <v>7</v>
      </c>
      <c r="AD300" s="2" t="n">
        <v>1.2</v>
      </c>
      <c r="AE300" s="2"/>
      <c r="AF300" s="2" t="n">
        <v>18.5</v>
      </c>
      <c r="AG300" s="2" t="n">
        <v>75.2</v>
      </c>
      <c r="AH300" s="2" t="n">
        <v>0.8</v>
      </c>
      <c r="AI300" s="2" t="n">
        <v>38.5</v>
      </c>
      <c r="AJ300" s="2" t="n">
        <v>0.7</v>
      </c>
      <c r="AK300" s="2" t="n">
        <v>40</v>
      </c>
      <c r="AL300" s="2"/>
      <c r="AM300" s="2"/>
      <c r="AN300" s="2" t="n">
        <v>2.3</v>
      </c>
      <c r="AO300" s="2" t="n">
        <v>1.3</v>
      </c>
      <c r="AP300" s="2" t="n">
        <v>0.3</v>
      </c>
      <c r="AQ300" s="2" t="n">
        <v>0.7</v>
      </c>
      <c r="AR300" s="2"/>
      <c r="AS300" s="2" t="n">
        <v>4.3</v>
      </c>
      <c r="AT300" s="2" t="n">
        <v>0.5</v>
      </c>
      <c r="AU300" s="2" t="n">
        <v>2</v>
      </c>
      <c r="AV300" s="2" t="n">
        <v>1.2</v>
      </c>
      <c r="AW300" s="2" t="n">
        <v>1</v>
      </c>
      <c r="AX300" s="2"/>
      <c r="AY300" s="2"/>
      <c r="AZ300" s="2"/>
      <c r="BA300" s="2"/>
      <c r="BB300" s="2"/>
      <c r="BC300" s="2"/>
      <c r="BD300" s="4" t="s">
        <v>1135</v>
      </c>
    </row>
    <row r="301" customFormat="false" ht="15" hidden="false" customHeight="false" outlineLevel="0" collapsed="false">
      <c r="A301" s="2" t="n">
        <v>1346863</v>
      </c>
      <c r="B301" s="2" t="s">
        <v>1136</v>
      </c>
      <c r="C301" s="2" t="s">
        <v>1087</v>
      </c>
      <c r="D301" s="2" t="s">
        <v>58</v>
      </c>
      <c r="E301" s="2" t="s">
        <v>59</v>
      </c>
      <c r="F301" s="2" t="s">
        <v>102</v>
      </c>
      <c r="G301" s="2" t="s">
        <v>147</v>
      </c>
      <c r="H301" s="2" t="s">
        <v>317</v>
      </c>
      <c r="I301" s="2" t="n">
        <v>39</v>
      </c>
      <c r="J301" s="2" t="n">
        <v>24</v>
      </c>
      <c r="K301" s="2" t="s">
        <v>1137</v>
      </c>
      <c r="L301" s="2" t="s">
        <v>178</v>
      </c>
      <c r="M301" s="2" t="n">
        <v>178</v>
      </c>
      <c r="N301" s="3" t="n">
        <v>201487</v>
      </c>
      <c r="O301" s="2"/>
      <c r="P301" s="2" t="n">
        <v>15</v>
      </c>
      <c r="Q301" s="3" t="n">
        <v>473</v>
      </c>
      <c r="R301" s="2"/>
      <c r="S301" s="2"/>
      <c r="T301" s="2"/>
      <c r="U301" s="2"/>
      <c r="V301" s="2"/>
      <c r="W301" s="2"/>
      <c r="X301" s="2"/>
      <c r="Y301" s="2" t="n">
        <v>1.9</v>
      </c>
      <c r="Z301" s="2" t="n">
        <v>0.2</v>
      </c>
      <c r="AA301" s="2" t="n">
        <v>0</v>
      </c>
      <c r="AB301" s="2" t="n">
        <v>3</v>
      </c>
      <c r="AC301" s="2" t="n">
        <v>8</v>
      </c>
      <c r="AD301" s="2" t="n">
        <v>1.5</v>
      </c>
      <c r="AE301" s="2"/>
      <c r="AF301" s="2" t="n">
        <v>20.4</v>
      </c>
      <c r="AG301" s="2" t="n">
        <v>69.5</v>
      </c>
      <c r="AH301" s="2" t="n">
        <v>1.1</v>
      </c>
      <c r="AI301" s="2" t="n">
        <v>50</v>
      </c>
      <c r="AJ301" s="2" t="n">
        <v>0.6</v>
      </c>
      <c r="AK301" s="2" t="n">
        <v>30</v>
      </c>
      <c r="AL301" s="2"/>
      <c r="AM301" s="2"/>
      <c r="AN301" s="2" t="n">
        <v>4</v>
      </c>
      <c r="AO301" s="2" t="n">
        <v>1.7</v>
      </c>
      <c r="AP301" s="2" t="n">
        <v>1</v>
      </c>
      <c r="AQ301" s="2" t="n">
        <v>1.1</v>
      </c>
      <c r="AR301" s="2" t="n">
        <v>0.2</v>
      </c>
      <c r="AS301" s="2" t="n">
        <v>3</v>
      </c>
      <c r="AT301" s="2" t="n">
        <v>0.8</v>
      </c>
      <c r="AU301" s="2" t="n">
        <v>1.3</v>
      </c>
      <c r="AV301" s="2" t="n">
        <v>2.1</v>
      </c>
      <c r="AW301" s="2"/>
      <c r="AX301" s="2"/>
      <c r="AY301" s="2"/>
      <c r="AZ301" s="2"/>
      <c r="BA301" s="2"/>
      <c r="BB301" s="2"/>
      <c r="BC301" s="2"/>
      <c r="BD301" s="4" t="s">
        <v>1138</v>
      </c>
    </row>
    <row r="302" customFormat="false" ht="15" hidden="false" customHeight="false" outlineLevel="0" collapsed="false">
      <c r="A302" s="2" t="n">
        <v>1309795</v>
      </c>
      <c r="B302" s="2" t="s">
        <v>1139</v>
      </c>
      <c r="C302" s="2" t="s">
        <v>1087</v>
      </c>
      <c r="D302" s="2" t="s">
        <v>58</v>
      </c>
      <c r="E302" s="2" t="s">
        <v>59</v>
      </c>
      <c r="F302" s="2" t="s">
        <v>102</v>
      </c>
      <c r="G302" s="2" t="s">
        <v>103</v>
      </c>
      <c r="H302" s="2" t="s">
        <v>123</v>
      </c>
      <c r="I302" s="2" t="n">
        <v>20</v>
      </c>
      <c r="J302" s="2" t="n">
        <v>25</v>
      </c>
      <c r="K302" s="2" t="s">
        <v>1140</v>
      </c>
      <c r="L302" s="2" t="s">
        <v>116</v>
      </c>
      <c r="M302" s="2" t="n">
        <v>188</v>
      </c>
      <c r="N302" s="3" t="n">
        <v>124057</v>
      </c>
      <c r="O302" s="2"/>
      <c r="P302" s="2" t="n">
        <v>14</v>
      </c>
      <c r="Q302" s="3" t="n">
        <v>428</v>
      </c>
      <c r="R302" s="2"/>
      <c r="S302" s="2"/>
      <c r="T302" s="2" t="n">
        <v>1</v>
      </c>
      <c r="U302" s="2" t="n">
        <v>0</v>
      </c>
      <c r="V302" s="2"/>
      <c r="W302" s="2"/>
      <c r="X302" s="2" t="n">
        <v>0.21</v>
      </c>
      <c r="Y302" s="2" t="n">
        <v>1.1</v>
      </c>
      <c r="Z302" s="2" t="n">
        <v>0.6</v>
      </c>
      <c r="AA302" s="2" t="n">
        <v>20</v>
      </c>
      <c r="AB302" s="2"/>
      <c r="AC302" s="2" t="n">
        <v>4</v>
      </c>
      <c r="AD302" s="2" t="n">
        <v>0.8</v>
      </c>
      <c r="AE302" s="2"/>
      <c r="AF302" s="2" t="n">
        <v>45</v>
      </c>
      <c r="AG302" s="2" t="n">
        <v>84.9</v>
      </c>
      <c r="AH302" s="2" t="n">
        <v>2.5</v>
      </c>
      <c r="AI302" s="2" t="n">
        <v>54.5</v>
      </c>
      <c r="AJ302" s="2" t="n">
        <v>1.1</v>
      </c>
      <c r="AK302" s="2" t="n">
        <v>71.4</v>
      </c>
      <c r="AL302" s="2"/>
      <c r="AM302" s="2"/>
      <c r="AN302" s="2" t="n">
        <v>6.7</v>
      </c>
      <c r="AO302" s="2" t="n">
        <v>2.1</v>
      </c>
      <c r="AP302" s="2" t="n">
        <v>1.7</v>
      </c>
      <c r="AQ302" s="2" t="n">
        <v>2.1</v>
      </c>
      <c r="AR302" s="2" t="n">
        <v>0.8</v>
      </c>
      <c r="AS302" s="2" t="n">
        <v>4.6</v>
      </c>
      <c r="AT302" s="2" t="n">
        <v>0.6</v>
      </c>
      <c r="AU302" s="2" t="n">
        <v>2.5</v>
      </c>
      <c r="AV302" s="2" t="n">
        <v>1.9</v>
      </c>
      <c r="AW302" s="2" t="n">
        <v>2</v>
      </c>
      <c r="AX302" s="2"/>
      <c r="AY302" s="2"/>
      <c r="AZ302" s="2"/>
      <c r="BA302" s="2"/>
      <c r="BB302" s="2"/>
      <c r="BC302" s="2"/>
      <c r="BD302" s="4" t="s">
        <v>1141</v>
      </c>
    </row>
    <row r="303" customFormat="false" ht="15" hidden="false" customHeight="false" outlineLevel="0" collapsed="false">
      <c r="A303" s="2" t="n">
        <v>1079296</v>
      </c>
      <c r="B303" s="2" t="s">
        <v>1142</v>
      </c>
      <c r="C303" s="2" t="s">
        <v>1087</v>
      </c>
      <c r="D303" s="2" t="s">
        <v>58</v>
      </c>
      <c r="E303" s="2" t="s">
        <v>59</v>
      </c>
      <c r="F303" s="2" t="s">
        <v>102</v>
      </c>
      <c r="G303" s="2" t="s">
        <v>113</v>
      </c>
      <c r="H303" s="2" t="s">
        <v>1143</v>
      </c>
      <c r="I303" s="2" t="n">
        <v>23</v>
      </c>
      <c r="J303" s="2" t="n">
        <v>26</v>
      </c>
      <c r="K303" s="2" t="s">
        <v>1144</v>
      </c>
      <c r="L303" s="2" t="s">
        <v>67</v>
      </c>
      <c r="M303" s="2" t="n">
        <v>178</v>
      </c>
      <c r="N303" s="3" t="n">
        <v>252312</v>
      </c>
      <c r="O303" s="2"/>
      <c r="P303" s="2" t="n">
        <v>7</v>
      </c>
      <c r="Q303" s="3" t="n">
        <v>386</v>
      </c>
      <c r="R303" s="2"/>
      <c r="S303" s="2"/>
      <c r="T303" s="2"/>
      <c r="U303" s="2"/>
      <c r="V303" s="2" t="n">
        <v>2</v>
      </c>
      <c r="W303" s="2"/>
      <c r="X303" s="2"/>
      <c r="Y303" s="2"/>
      <c r="Z303" s="2"/>
      <c r="AA303" s="2"/>
      <c r="AB303" s="2" t="n">
        <v>2</v>
      </c>
      <c r="AC303" s="2" t="n">
        <v>8</v>
      </c>
      <c r="AD303" s="2" t="n">
        <v>1.9</v>
      </c>
      <c r="AE303" s="2" t="n">
        <v>3</v>
      </c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 t="n">
        <v>1</v>
      </c>
      <c r="AX303" s="2"/>
      <c r="AY303" s="2"/>
      <c r="AZ303" s="2"/>
      <c r="BA303" s="2"/>
      <c r="BB303" s="2"/>
      <c r="BC303" s="2"/>
      <c r="BD303" s="4" t="s">
        <v>1145</v>
      </c>
    </row>
    <row r="304" customFormat="false" ht="15" hidden="false" customHeight="false" outlineLevel="0" collapsed="false">
      <c r="A304" s="2" t="n">
        <v>1576399</v>
      </c>
      <c r="B304" s="2" t="s">
        <v>1146</v>
      </c>
      <c r="C304" s="2" t="s">
        <v>1087</v>
      </c>
      <c r="D304" s="2" t="s">
        <v>58</v>
      </c>
      <c r="E304" s="2" t="s">
        <v>59</v>
      </c>
      <c r="F304" s="2" t="s">
        <v>102</v>
      </c>
      <c r="G304" s="2" t="s">
        <v>673</v>
      </c>
      <c r="H304" s="2" t="s">
        <v>673</v>
      </c>
      <c r="I304" s="2" t="n">
        <v>33</v>
      </c>
      <c r="J304" s="2" t="n">
        <v>22</v>
      </c>
      <c r="K304" s="2" t="s">
        <v>1147</v>
      </c>
      <c r="L304" s="2" t="s">
        <v>965</v>
      </c>
      <c r="M304" s="2" t="n">
        <v>175</v>
      </c>
      <c r="N304" s="3" t="n">
        <v>50934</v>
      </c>
      <c r="O304" s="2"/>
      <c r="P304" s="2" t="n">
        <v>7</v>
      </c>
      <c r="Q304" s="3" t="n">
        <v>239</v>
      </c>
      <c r="R304" s="2"/>
      <c r="S304" s="2"/>
      <c r="T304" s="2" t="n">
        <v>1</v>
      </c>
      <c r="U304" s="2" t="n">
        <v>0</v>
      </c>
      <c r="V304" s="2"/>
      <c r="W304" s="2"/>
      <c r="X304" s="2"/>
      <c r="Y304" s="2"/>
      <c r="Z304" s="2"/>
      <c r="AA304" s="2"/>
      <c r="AB304" s="2"/>
      <c r="AC304" s="2" t="n">
        <v>1</v>
      </c>
      <c r="AD304" s="2" t="n">
        <v>0.4</v>
      </c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 t="n">
        <v>2</v>
      </c>
      <c r="AX304" s="2"/>
      <c r="AY304" s="2" t="n">
        <v>1</v>
      </c>
      <c r="AZ304" s="2"/>
      <c r="BA304" s="2"/>
      <c r="BB304" s="2"/>
      <c r="BC304" s="2"/>
      <c r="BD304" s="4" t="s">
        <v>1148</v>
      </c>
    </row>
    <row r="305" customFormat="false" ht="15" hidden="false" customHeight="false" outlineLevel="0" collapsed="false">
      <c r="A305" s="2" t="n">
        <v>1216799</v>
      </c>
      <c r="B305" s="2" t="s">
        <v>1149</v>
      </c>
      <c r="C305" s="2" t="s">
        <v>1087</v>
      </c>
      <c r="D305" s="2" t="s">
        <v>58</v>
      </c>
      <c r="E305" s="2" t="s">
        <v>59</v>
      </c>
      <c r="F305" s="2" t="s">
        <v>102</v>
      </c>
      <c r="G305" s="2" t="s">
        <v>103</v>
      </c>
      <c r="H305" s="2" t="s">
        <v>103</v>
      </c>
      <c r="I305" s="2" t="n">
        <v>28</v>
      </c>
      <c r="J305" s="2" t="n">
        <v>22</v>
      </c>
      <c r="K305" s="2" t="s">
        <v>1150</v>
      </c>
      <c r="L305" s="2" t="s">
        <v>116</v>
      </c>
      <c r="M305" s="2" t="n">
        <v>180</v>
      </c>
      <c r="N305" s="3" t="n">
        <v>217680</v>
      </c>
      <c r="O305" s="2"/>
      <c r="P305" s="2" t="n">
        <v>3</v>
      </c>
      <c r="Q305" s="3" t="n">
        <v>87</v>
      </c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 t="n">
        <v>2</v>
      </c>
      <c r="AD305" s="2" t="n">
        <v>2.1</v>
      </c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4" t="s">
        <v>1151</v>
      </c>
    </row>
    <row r="306" customFormat="false" ht="15" hidden="false" customHeight="false" outlineLevel="0" collapsed="false">
      <c r="A306" s="2" t="n">
        <v>1252526</v>
      </c>
      <c r="B306" s="2" t="s">
        <v>1152</v>
      </c>
      <c r="C306" s="2" t="s">
        <v>1087</v>
      </c>
      <c r="D306" s="2" t="s">
        <v>58</v>
      </c>
      <c r="E306" s="2" t="s">
        <v>59</v>
      </c>
      <c r="F306" s="2" t="s">
        <v>137</v>
      </c>
      <c r="G306" s="2" t="s">
        <v>138</v>
      </c>
      <c r="H306" s="2" t="s">
        <v>1153</v>
      </c>
      <c r="I306" s="2" t="n">
        <v>11</v>
      </c>
      <c r="J306" s="2" t="n">
        <v>21</v>
      </c>
      <c r="K306" s="2" t="s">
        <v>1154</v>
      </c>
      <c r="L306" s="2" t="s">
        <v>1155</v>
      </c>
      <c r="M306" s="2" t="n">
        <v>170</v>
      </c>
      <c r="N306" s="3" t="n">
        <v>132857</v>
      </c>
      <c r="O306" s="2"/>
      <c r="P306" s="2" t="n">
        <v>16</v>
      </c>
      <c r="Q306" s="3" t="n">
        <v>1313</v>
      </c>
      <c r="R306" s="2" t="n">
        <v>7.29</v>
      </c>
      <c r="S306" s="2" t="n">
        <v>1</v>
      </c>
      <c r="T306" s="2" t="n">
        <v>5</v>
      </c>
      <c r="U306" s="2" t="n">
        <v>0</v>
      </c>
      <c r="V306" s="2" t="n">
        <v>1</v>
      </c>
      <c r="W306" s="2"/>
      <c r="X306" s="2" t="n">
        <v>0.34</v>
      </c>
      <c r="Y306" s="2" t="n">
        <v>3.3</v>
      </c>
      <c r="Z306" s="2" t="n">
        <v>1.2</v>
      </c>
      <c r="AA306" s="2" t="n">
        <v>10.4</v>
      </c>
      <c r="AB306" s="2" t="n">
        <v>2</v>
      </c>
      <c r="AC306" s="2" t="n">
        <v>31</v>
      </c>
      <c r="AD306" s="2" t="n">
        <v>2.1</v>
      </c>
      <c r="AE306" s="2" t="n">
        <v>4</v>
      </c>
      <c r="AF306" s="2" t="n">
        <v>30</v>
      </c>
      <c r="AG306" s="2" t="n">
        <v>78.8</v>
      </c>
      <c r="AH306" s="2" t="n">
        <v>1.8</v>
      </c>
      <c r="AI306" s="2" t="n">
        <v>54.2</v>
      </c>
      <c r="AJ306" s="2" t="n">
        <v>1.9</v>
      </c>
      <c r="AK306" s="2" t="n">
        <v>39.7</v>
      </c>
      <c r="AL306" s="2"/>
      <c r="AM306" s="2"/>
      <c r="AN306" s="2" t="n">
        <v>1.9</v>
      </c>
      <c r="AO306" s="2" t="n">
        <v>0.9</v>
      </c>
      <c r="AP306" s="2" t="n">
        <v>0.3</v>
      </c>
      <c r="AQ306" s="2" t="n">
        <v>0.6</v>
      </c>
      <c r="AR306" s="2" t="n">
        <v>0.1</v>
      </c>
      <c r="AS306" s="2" t="n">
        <v>3.8</v>
      </c>
      <c r="AT306" s="2" t="n">
        <v>0.7</v>
      </c>
      <c r="AU306" s="2" t="n">
        <v>1.7</v>
      </c>
      <c r="AV306" s="2" t="n">
        <v>0.8</v>
      </c>
      <c r="AW306" s="2" t="n">
        <v>1</v>
      </c>
      <c r="AX306" s="2"/>
      <c r="AY306" s="2"/>
      <c r="AZ306" s="2"/>
      <c r="BA306" s="2"/>
      <c r="BB306" s="2"/>
      <c r="BC306" s="2"/>
      <c r="BD306" s="4" t="s">
        <v>1156</v>
      </c>
    </row>
    <row r="307" customFormat="false" ht="15" hidden="false" customHeight="false" outlineLevel="0" collapsed="false">
      <c r="A307" s="2" t="n">
        <v>1166560</v>
      </c>
      <c r="B307" s="2" t="s">
        <v>1157</v>
      </c>
      <c r="C307" s="2" t="s">
        <v>1087</v>
      </c>
      <c r="D307" s="2" t="s">
        <v>58</v>
      </c>
      <c r="E307" s="2" t="s">
        <v>59</v>
      </c>
      <c r="F307" s="2" t="s">
        <v>137</v>
      </c>
      <c r="G307" s="2" t="s">
        <v>133</v>
      </c>
      <c r="H307" s="2" t="s">
        <v>322</v>
      </c>
      <c r="I307" s="2" t="n">
        <v>22</v>
      </c>
      <c r="J307" s="2" t="n">
        <v>22</v>
      </c>
      <c r="K307" s="2" t="s">
        <v>1158</v>
      </c>
      <c r="L307" s="2" t="s">
        <v>346</v>
      </c>
      <c r="M307" s="2" t="n">
        <v>178</v>
      </c>
      <c r="N307" s="3" t="n">
        <v>58410</v>
      </c>
      <c r="O307" s="2"/>
      <c r="P307" s="2" t="n">
        <v>14</v>
      </c>
      <c r="Q307" s="3" t="n">
        <v>685</v>
      </c>
      <c r="R307" s="2" t="n">
        <v>6.7</v>
      </c>
      <c r="S307" s="2" t="n">
        <v>1</v>
      </c>
      <c r="T307" s="2" t="n">
        <v>2</v>
      </c>
      <c r="U307" s="2" t="n">
        <v>0</v>
      </c>
      <c r="V307" s="2" t="n">
        <v>2</v>
      </c>
      <c r="W307" s="2"/>
      <c r="X307" s="2" t="n">
        <v>0.26</v>
      </c>
      <c r="Y307" s="2" t="n">
        <v>1.6</v>
      </c>
      <c r="Z307" s="2" t="n">
        <v>0.7</v>
      </c>
      <c r="AA307" s="2" t="n">
        <v>16.7</v>
      </c>
      <c r="AB307" s="2"/>
      <c r="AC307" s="2" t="n">
        <v>8</v>
      </c>
      <c r="AD307" s="2" t="n">
        <v>1.1</v>
      </c>
      <c r="AE307" s="2" t="n">
        <v>5</v>
      </c>
      <c r="AF307" s="2" t="n">
        <v>24.4</v>
      </c>
      <c r="AG307" s="2" t="n">
        <v>79.8</v>
      </c>
      <c r="AH307" s="2" t="n">
        <v>1.4</v>
      </c>
      <c r="AI307" s="2" t="n">
        <v>50</v>
      </c>
      <c r="AJ307" s="2" t="n">
        <v>0.5</v>
      </c>
      <c r="AK307" s="2" t="n">
        <v>30.8</v>
      </c>
      <c r="AL307" s="2"/>
      <c r="AM307" s="2"/>
      <c r="AN307" s="2" t="n">
        <v>3.7</v>
      </c>
      <c r="AO307" s="2" t="n">
        <v>1.3</v>
      </c>
      <c r="AP307" s="2" t="n">
        <v>0.7</v>
      </c>
      <c r="AQ307" s="2" t="n">
        <v>1.7</v>
      </c>
      <c r="AR307" s="2"/>
      <c r="AS307" s="2" t="n">
        <v>4.5</v>
      </c>
      <c r="AT307" s="2" t="n">
        <v>0.4</v>
      </c>
      <c r="AU307" s="2" t="n">
        <v>1.8</v>
      </c>
      <c r="AV307" s="2" t="n">
        <v>0.8</v>
      </c>
      <c r="AW307" s="2"/>
      <c r="AX307" s="2"/>
      <c r="AY307" s="2"/>
      <c r="AZ307" s="2"/>
      <c r="BA307" s="2"/>
      <c r="BB307" s="2"/>
      <c r="BC307" s="2"/>
      <c r="BD307" s="4" t="s">
        <v>1159</v>
      </c>
    </row>
    <row r="308" customFormat="false" ht="15" hidden="false" customHeight="false" outlineLevel="0" collapsed="false">
      <c r="A308" s="2" t="n">
        <v>1374959</v>
      </c>
      <c r="B308" s="2" t="s">
        <v>1160</v>
      </c>
      <c r="C308" s="2" t="s">
        <v>1087</v>
      </c>
      <c r="D308" s="2" t="s">
        <v>58</v>
      </c>
      <c r="E308" s="2" t="s">
        <v>59</v>
      </c>
      <c r="F308" s="2" t="s">
        <v>137</v>
      </c>
      <c r="G308" s="2" t="s">
        <v>147</v>
      </c>
      <c r="H308" s="2" t="s">
        <v>147</v>
      </c>
      <c r="I308" s="2" t="n">
        <v>9</v>
      </c>
      <c r="J308" s="2" t="n">
        <v>20</v>
      </c>
      <c r="K308" s="2" t="s">
        <v>1161</v>
      </c>
      <c r="L308" s="2" t="s">
        <v>67</v>
      </c>
      <c r="M308" s="2" t="n">
        <v>185</v>
      </c>
      <c r="N308" s="3" t="n">
        <v>1014689</v>
      </c>
      <c r="O308" s="2"/>
      <c r="P308" s="2" t="n">
        <v>8</v>
      </c>
      <c r="Q308" s="3" t="n">
        <v>676</v>
      </c>
      <c r="R308" s="2"/>
      <c r="S308" s="2"/>
      <c r="T308" s="2" t="n">
        <v>6</v>
      </c>
      <c r="U308" s="2" t="n">
        <v>0</v>
      </c>
      <c r="V308" s="2"/>
      <c r="W308" s="2"/>
      <c r="X308" s="2"/>
      <c r="Y308" s="2"/>
      <c r="Z308" s="2"/>
      <c r="AA308" s="2"/>
      <c r="AB308" s="2" t="n">
        <v>5</v>
      </c>
      <c r="AC308" s="2" t="n">
        <v>5</v>
      </c>
      <c r="AD308" s="2" t="n">
        <v>0.7</v>
      </c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4" t="s">
        <v>1162</v>
      </c>
    </row>
    <row r="309" customFormat="false" ht="15" hidden="false" customHeight="false" outlineLevel="0" collapsed="false">
      <c r="A309" s="2" t="n">
        <v>1241617</v>
      </c>
      <c r="B309" s="2" t="s">
        <v>1163</v>
      </c>
      <c r="C309" s="2" t="s">
        <v>1087</v>
      </c>
      <c r="D309" s="2" t="s">
        <v>58</v>
      </c>
      <c r="E309" s="2" t="s">
        <v>59</v>
      </c>
      <c r="F309" s="2" t="s">
        <v>137</v>
      </c>
      <c r="G309" s="2" t="s">
        <v>133</v>
      </c>
      <c r="H309" s="2" t="s">
        <v>742</v>
      </c>
      <c r="I309" s="2" t="n">
        <v>18</v>
      </c>
      <c r="J309" s="2" t="n">
        <v>24</v>
      </c>
      <c r="K309" s="2" t="s">
        <v>1164</v>
      </c>
      <c r="L309" s="2" t="s">
        <v>1165</v>
      </c>
      <c r="M309" s="2" t="n">
        <v>185</v>
      </c>
      <c r="N309" s="3" t="n">
        <v>96280</v>
      </c>
      <c r="O309" s="2"/>
      <c r="P309" s="2" t="n">
        <v>18</v>
      </c>
      <c r="Q309" s="3" t="n">
        <v>591</v>
      </c>
      <c r="R309" s="2" t="n">
        <v>6.32</v>
      </c>
      <c r="S309" s="2" t="n">
        <v>0</v>
      </c>
      <c r="T309" s="2"/>
      <c r="U309" s="2"/>
      <c r="V309" s="2"/>
      <c r="W309" s="2"/>
      <c r="X309" s="2"/>
      <c r="Y309" s="2" t="n">
        <v>2</v>
      </c>
      <c r="Z309" s="2" t="n">
        <v>0.5</v>
      </c>
      <c r="AA309" s="2" t="n">
        <v>0</v>
      </c>
      <c r="AB309" s="2" t="n">
        <v>1</v>
      </c>
      <c r="AC309" s="2" t="n">
        <v>9</v>
      </c>
      <c r="AD309" s="2" t="n">
        <v>1.4</v>
      </c>
      <c r="AE309" s="2"/>
      <c r="AF309" s="2" t="n">
        <v>26.8</v>
      </c>
      <c r="AG309" s="2" t="n">
        <v>83.4</v>
      </c>
      <c r="AH309" s="2" t="n">
        <v>0.2</v>
      </c>
      <c r="AI309" s="2" t="n">
        <v>20</v>
      </c>
      <c r="AJ309" s="2" t="n">
        <v>0.5</v>
      </c>
      <c r="AK309" s="2" t="n">
        <v>42.9</v>
      </c>
      <c r="AL309" s="2"/>
      <c r="AM309" s="2"/>
      <c r="AN309" s="2" t="n">
        <v>2.4</v>
      </c>
      <c r="AO309" s="2" t="n">
        <v>1.5</v>
      </c>
      <c r="AP309" s="2" t="n">
        <v>0.5</v>
      </c>
      <c r="AQ309" s="2" t="n">
        <v>0.5</v>
      </c>
      <c r="AR309" s="2"/>
      <c r="AS309" s="2" t="n">
        <v>5</v>
      </c>
      <c r="AT309" s="2" t="n">
        <v>0.3</v>
      </c>
      <c r="AU309" s="2" t="n">
        <v>3</v>
      </c>
      <c r="AV309" s="2" t="n">
        <v>3.2</v>
      </c>
      <c r="AW309" s="2" t="n">
        <v>3</v>
      </c>
      <c r="AX309" s="2"/>
      <c r="AY309" s="2"/>
      <c r="AZ309" s="2"/>
      <c r="BA309" s="2"/>
      <c r="BB309" s="2"/>
      <c r="BC309" s="2"/>
      <c r="BD309" s="4" t="s">
        <v>1166</v>
      </c>
    </row>
    <row r="310" customFormat="false" ht="15" hidden="false" customHeight="false" outlineLevel="0" collapsed="false">
      <c r="A310" s="2" t="n">
        <v>1647585</v>
      </c>
      <c r="B310" s="2" t="s">
        <v>1167</v>
      </c>
      <c r="C310" s="2" t="s">
        <v>1087</v>
      </c>
      <c r="D310" s="2" t="s">
        <v>58</v>
      </c>
      <c r="E310" s="2" t="s">
        <v>59</v>
      </c>
      <c r="F310" s="2" t="s">
        <v>137</v>
      </c>
      <c r="G310" s="2" t="s">
        <v>147</v>
      </c>
      <c r="H310" s="2" t="s">
        <v>147</v>
      </c>
      <c r="I310" s="2" t="n">
        <v>17</v>
      </c>
      <c r="J310" s="2" t="n">
        <v>25</v>
      </c>
      <c r="K310" s="2" t="s">
        <v>1168</v>
      </c>
      <c r="L310" s="2" t="s">
        <v>1169</v>
      </c>
      <c r="M310" s="2" t="n">
        <v>185</v>
      </c>
      <c r="N310" s="3"/>
      <c r="O310" s="2"/>
      <c r="P310" s="2" t="n">
        <v>3</v>
      </c>
      <c r="Q310" s="3" t="n">
        <v>17</v>
      </c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4" t="s">
        <v>1170</v>
      </c>
    </row>
    <row r="311" customFormat="false" ht="15" hidden="false" customHeight="false" outlineLevel="0" collapsed="false">
      <c r="A311" s="2" t="n">
        <v>1192554</v>
      </c>
      <c r="B311" s="2" t="s">
        <v>1171</v>
      </c>
      <c r="C311" s="2" t="s">
        <v>1172</v>
      </c>
      <c r="D311" s="2" t="s">
        <v>58</v>
      </c>
      <c r="E311" s="2" t="s">
        <v>59</v>
      </c>
      <c r="F311" s="2" t="s">
        <v>60</v>
      </c>
      <c r="G311" s="2" t="s">
        <v>61</v>
      </c>
      <c r="H311" s="2" t="s">
        <v>61</v>
      </c>
      <c r="I311" s="2" t="n">
        <v>12</v>
      </c>
      <c r="J311" s="2" t="n">
        <v>33</v>
      </c>
      <c r="K311" s="2" t="s">
        <v>1173</v>
      </c>
      <c r="L311" s="2" t="s">
        <v>67</v>
      </c>
      <c r="M311" s="2" t="n">
        <v>185</v>
      </c>
      <c r="N311" s="3" t="n">
        <v>50000</v>
      </c>
      <c r="O311" s="2"/>
      <c r="P311" s="2" t="n">
        <v>11</v>
      </c>
      <c r="Q311" s="3" t="n">
        <v>969</v>
      </c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 t="n">
        <v>3</v>
      </c>
      <c r="BA311" s="2"/>
      <c r="BB311" s="2"/>
      <c r="BC311" s="2"/>
      <c r="BD311" s="4" t="s">
        <v>1174</v>
      </c>
    </row>
    <row r="312" customFormat="false" ht="15" hidden="false" customHeight="false" outlineLevel="0" collapsed="false">
      <c r="A312" s="2" t="n">
        <v>1252620</v>
      </c>
      <c r="B312" s="2" t="s">
        <v>1175</v>
      </c>
      <c r="C312" s="2" t="s">
        <v>1172</v>
      </c>
      <c r="D312" s="2" t="s">
        <v>58</v>
      </c>
      <c r="E312" s="2" t="s">
        <v>59</v>
      </c>
      <c r="F312" s="2" t="s">
        <v>60</v>
      </c>
      <c r="G312" s="2" t="s">
        <v>61</v>
      </c>
      <c r="H312" s="2" t="s">
        <v>61</v>
      </c>
      <c r="I312" s="2" t="n">
        <v>1</v>
      </c>
      <c r="J312" s="2" t="n">
        <v>30</v>
      </c>
      <c r="K312" s="2" t="s">
        <v>1176</v>
      </c>
      <c r="L312" s="2" t="s">
        <v>243</v>
      </c>
      <c r="M312" s="2" t="n">
        <v>188</v>
      </c>
      <c r="N312" s="3" t="n">
        <v>57429</v>
      </c>
      <c r="O312" s="2"/>
      <c r="P312" s="2" t="n">
        <v>10</v>
      </c>
      <c r="Q312" s="3" t="n">
        <v>900</v>
      </c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 t="n">
        <v>2</v>
      </c>
      <c r="BA312" s="2"/>
      <c r="BB312" s="2"/>
      <c r="BC312" s="2"/>
      <c r="BD312" s="4" t="s">
        <v>1177</v>
      </c>
    </row>
    <row r="313" customFormat="false" ht="15" hidden="false" customHeight="false" outlineLevel="0" collapsed="false">
      <c r="A313" s="2" t="n">
        <v>1642172</v>
      </c>
      <c r="B313" s="2" t="s">
        <v>1178</v>
      </c>
      <c r="C313" s="2" t="s">
        <v>1172</v>
      </c>
      <c r="D313" s="2" t="s">
        <v>58</v>
      </c>
      <c r="E313" s="2" t="s">
        <v>59</v>
      </c>
      <c r="F313" s="2" t="s">
        <v>60</v>
      </c>
      <c r="G313" s="2" t="s">
        <v>61</v>
      </c>
      <c r="H313" s="2" t="s">
        <v>61</v>
      </c>
      <c r="I313" s="2" t="n">
        <v>29</v>
      </c>
      <c r="J313" s="2" t="n">
        <v>24</v>
      </c>
      <c r="K313" s="2" t="s">
        <v>1179</v>
      </c>
      <c r="L313" s="2" t="s">
        <v>67</v>
      </c>
      <c r="M313" s="2" t="n">
        <v>193</v>
      </c>
      <c r="N313" s="3"/>
      <c r="O313" s="2"/>
      <c r="P313" s="2" t="n">
        <v>4</v>
      </c>
      <c r="Q313" s="3" t="n">
        <v>291</v>
      </c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 t="n">
        <v>1</v>
      </c>
      <c r="AZ313" s="2"/>
      <c r="BA313" s="2"/>
      <c r="BB313" s="2"/>
      <c r="BC313" s="2"/>
      <c r="BD313" s="4" t="s">
        <v>1180</v>
      </c>
    </row>
    <row r="314" customFormat="false" ht="15" hidden="false" customHeight="false" outlineLevel="0" collapsed="false">
      <c r="A314" s="2" t="n">
        <v>1652403</v>
      </c>
      <c r="B314" s="2" t="s">
        <v>1181</v>
      </c>
      <c r="C314" s="2" t="s">
        <v>1172</v>
      </c>
      <c r="D314" s="2" t="s">
        <v>58</v>
      </c>
      <c r="E314" s="2" t="s">
        <v>59</v>
      </c>
      <c r="F314" s="2" t="s">
        <v>60</v>
      </c>
      <c r="G314" s="2" t="s">
        <v>61</v>
      </c>
      <c r="H314" s="2" t="s">
        <v>61</v>
      </c>
      <c r="I314" s="2" t="n">
        <v>30</v>
      </c>
      <c r="J314" s="2" t="n">
        <v>26</v>
      </c>
      <c r="K314" s="2" t="s">
        <v>1182</v>
      </c>
      <c r="L314" s="2" t="s">
        <v>67</v>
      </c>
      <c r="M314" s="2" t="n">
        <v>188</v>
      </c>
      <c r="N314" s="3" t="n">
        <v>50000</v>
      </c>
      <c r="O314" s="2"/>
      <c r="P314" s="2" t="n">
        <v>2</v>
      </c>
      <c r="Q314" s="3" t="n">
        <v>180</v>
      </c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4" t="s">
        <v>1183</v>
      </c>
    </row>
    <row r="315" customFormat="false" ht="15" hidden="false" customHeight="false" outlineLevel="0" collapsed="false">
      <c r="A315" s="2" t="n">
        <v>2297260</v>
      </c>
      <c r="B315" s="2" t="s">
        <v>1184</v>
      </c>
      <c r="C315" s="2" t="s">
        <v>1172</v>
      </c>
      <c r="D315" s="2" t="s">
        <v>58</v>
      </c>
      <c r="E315" s="2" t="s">
        <v>59</v>
      </c>
      <c r="F315" s="2" t="s">
        <v>60</v>
      </c>
      <c r="G315" s="2"/>
      <c r="H315" s="2"/>
      <c r="I315" s="2" t="n">
        <v>91</v>
      </c>
      <c r="J315" s="2" t="n">
        <v>18</v>
      </c>
      <c r="K315" s="2" t="s">
        <v>1185</v>
      </c>
      <c r="L315" s="2" t="s">
        <v>67</v>
      </c>
      <c r="M315" s="2" t="n">
        <v>191</v>
      </c>
      <c r="N315" s="3"/>
      <c r="O315" s="2"/>
      <c r="P315" s="2"/>
      <c r="Q315" s="3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4" t="s">
        <v>1186</v>
      </c>
    </row>
    <row r="316" customFormat="false" ht="15" hidden="false" customHeight="false" outlineLevel="0" collapsed="false">
      <c r="A316" s="2" t="n">
        <v>1072318</v>
      </c>
      <c r="B316" s="2" t="s">
        <v>1187</v>
      </c>
      <c r="C316" s="2" t="s">
        <v>1172</v>
      </c>
      <c r="D316" s="2" t="s">
        <v>58</v>
      </c>
      <c r="E316" s="2" t="s">
        <v>59</v>
      </c>
      <c r="F316" s="2" t="s">
        <v>70</v>
      </c>
      <c r="G316" s="2" t="s">
        <v>75</v>
      </c>
      <c r="H316" s="2" t="s">
        <v>75</v>
      </c>
      <c r="I316" s="2" t="n">
        <v>32</v>
      </c>
      <c r="J316" s="2" t="n">
        <v>29</v>
      </c>
      <c r="K316" s="2" t="s">
        <v>1188</v>
      </c>
      <c r="L316" s="2" t="s">
        <v>1189</v>
      </c>
      <c r="M316" s="2" t="n">
        <v>185</v>
      </c>
      <c r="N316" s="3" t="n">
        <v>50000</v>
      </c>
      <c r="O316" s="2"/>
      <c r="P316" s="2" t="n">
        <v>23</v>
      </c>
      <c r="Q316" s="3" t="n">
        <v>2046</v>
      </c>
      <c r="R316" s="2" t="n">
        <v>6.89</v>
      </c>
      <c r="S316" s="2" t="n">
        <v>1</v>
      </c>
      <c r="T316" s="2" t="n">
        <v>2</v>
      </c>
      <c r="U316" s="2" t="n">
        <v>0</v>
      </c>
      <c r="V316" s="2"/>
      <c r="W316" s="2"/>
      <c r="X316" s="2" t="n">
        <v>0.09</v>
      </c>
      <c r="Y316" s="2" t="n">
        <v>0.3</v>
      </c>
      <c r="Z316" s="2" t="n">
        <v>0.1</v>
      </c>
      <c r="AA316" s="2" t="n">
        <v>28.6</v>
      </c>
      <c r="AB316" s="2"/>
      <c r="AC316" s="2" t="n">
        <v>9</v>
      </c>
      <c r="AD316" s="2" t="n">
        <v>0.4</v>
      </c>
      <c r="AE316" s="2"/>
      <c r="AF316" s="2" t="n">
        <v>45.8</v>
      </c>
      <c r="AG316" s="2" t="n">
        <v>81.3</v>
      </c>
      <c r="AH316" s="2" t="n">
        <v>4.2</v>
      </c>
      <c r="AI316" s="2" t="n">
        <v>46.6</v>
      </c>
      <c r="AJ316" s="2" t="n">
        <v>0.1</v>
      </c>
      <c r="AK316" s="2" t="n">
        <v>75</v>
      </c>
      <c r="AL316" s="2"/>
      <c r="AM316" s="2"/>
      <c r="AN316" s="2" t="n">
        <v>5.9</v>
      </c>
      <c r="AO316" s="2" t="n">
        <v>0.9</v>
      </c>
      <c r="AP316" s="2" t="n">
        <v>1.1</v>
      </c>
      <c r="AQ316" s="2" t="n">
        <v>3.4</v>
      </c>
      <c r="AR316" s="2" t="n">
        <v>0.4</v>
      </c>
      <c r="AS316" s="2" t="n">
        <v>3.4</v>
      </c>
      <c r="AT316" s="2" t="n">
        <v>0</v>
      </c>
      <c r="AU316" s="2" t="n">
        <v>1.6</v>
      </c>
      <c r="AV316" s="2" t="n">
        <v>0.8</v>
      </c>
      <c r="AW316" s="2" t="n">
        <v>5</v>
      </c>
      <c r="AX316" s="2"/>
      <c r="AY316" s="2"/>
      <c r="AZ316" s="2"/>
      <c r="BA316" s="2"/>
      <c r="BB316" s="2"/>
      <c r="BC316" s="2"/>
      <c r="BD316" s="4" t="s">
        <v>1190</v>
      </c>
    </row>
    <row r="317" customFormat="false" ht="15" hidden="false" customHeight="false" outlineLevel="0" collapsed="false">
      <c r="A317" s="2" t="n">
        <v>681621</v>
      </c>
      <c r="B317" s="2" t="s">
        <v>1191</v>
      </c>
      <c r="C317" s="2" t="s">
        <v>1172</v>
      </c>
      <c r="D317" s="2" t="s">
        <v>58</v>
      </c>
      <c r="E317" s="2" t="s">
        <v>59</v>
      </c>
      <c r="F317" s="2" t="s">
        <v>70</v>
      </c>
      <c r="G317" s="2" t="s">
        <v>75</v>
      </c>
      <c r="H317" s="2" t="s">
        <v>75</v>
      </c>
      <c r="I317" s="2" t="n">
        <v>4</v>
      </c>
      <c r="J317" s="2" t="n">
        <v>35</v>
      </c>
      <c r="K317" s="2" t="s">
        <v>1192</v>
      </c>
      <c r="L317" s="2" t="s">
        <v>67</v>
      </c>
      <c r="M317" s="2" t="n">
        <v>185</v>
      </c>
      <c r="N317" s="3" t="n">
        <v>50000</v>
      </c>
      <c r="O317" s="2"/>
      <c r="P317" s="2" t="n">
        <v>22</v>
      </c>
      <c r="Q317" s="3" t="n">
        <v>1749</v>
      </c>
      <c r="R317" s="2" t="n">
        <v>6.87</v>
      </c>
      <c r="S317" s="2" t="n">
        <v>3</v>
      </c>
      <c r="T317" s="2" t="n">
        <v>1</v>
      </c>
      <c r="U317" s="2" t="n">
        <v>1</v>
      </c>
      <c r="V317" s="2" t="n">
        <v>1</v>
      </c>
      <c r="W317" s="2"/>
      <c r="X317" s="2" t="n">
        <v>0.05</v>
      </c>
      <c r="Y317" s="2" t="n">
        <v>0.7</v>
      </c>
      <c r="Z317" s="2" t="n">
        <v>0.2</v>
      </c>
      <c r="AA317" s="2" t="n">
        <v>7.7</v>
      </c>
      <c r="AB317" s="2"/>
      <c r="AC317" s="2" t="n">
        <v>8</v>
      </c>
      <c r="AD317" s="2" t="n">
        <v>0.4</v>
      </c>
      <c r="AE317" s="2" t="n">
        <v>2</v>
      </c>
      <c r="AF317" s="2" t="n">
        <v>43.5</v>
      </c>
      <c r="AG317" s="2" t="n">
        <v>79.1</v>
      </c>
      <c r="AH317" s="2" t="n">
        <v>4.4</v>
      </c>
      <c r="AI317" s="2" t="n">
        <v>45</v>
      </c>
      <c r="AJ317" s="2" t="n">
        <v>0.2</v>
      </c>
      <c r="AK317" s="2" t="n">
        <v>50</v>
      </c>
      <c r="AL317" s="2"/>
      <c r="AM317" s="2"/>
      <c r="AN317" s="2" t="n">
        <v>7.2</v>
      </c>
      <c r="AO317" s="2" t="n">
        <v>1.5</v>
      </c>
      <c r="AP317" s="2" t="n">
        <v>1.3</v>
      </c>
      <c r="AQ317" s="2" t="n">
        <v>3.9</v>
      </c>
      <c r="AR317" s="2" t="n">
        <v>0.6</v>
      </c>
      <c r="AS317" s="2" t="n">
        <v>3.7</v>
      </c>
      <c r="AT317" s="2" t="n">
        <v>0.2</v>
      </c>
      <c r="AU317" s="2" t="n">
        <v>1.7</v>
      </c>
      <c r="AV317" s="2" t="n">
        <v>1.5</v>
      </c>
      <c r="AW317" s="2" t="n">
        <v>5</v>
      </c>
      <c r="AX317" s="2"/>
      <c r="AY317" s="2"/>
      <c r="AZ317" s="2"/>
      <c r="BA317" s="2"/>
      <c r="BB317" s="2"/>
      <c r="BC317" s="2"/>
      <c r="BD317" s="4" t="s">
        <v>1193</v>
      </c>
    </row>
    <row r="318" customFormat="false" ht="15" hidden="false" customHeight="false" outlineLevel="0" collapsed="false">
      <c r="A318" s="2" t="n">
        <v>1678153</v>
      </c>
      <c r="B318" s="2" t="s">
        <v>1194</v>
      </c>
      <c r="C318" s="2" t="s">
        <v>1172</v>
      </c>
      <c r="D318" s="2" t="s">
        <v>58</v>
      </c>
      <c r="E318" s="2" t="s">
        <v>59</v>
      </c>
      <c r="F318" s="2" t="s">
        <v>70</v>
      </c>
      <c r="G318" s="2" t="s">
        <v>75</v>
      </c>
      <c r="H318" s="2" t="s">
        <v>75</v>
      </c>
      <c r="I318" s="2" t="n">
        <v>5</v>
      </c>
      <c r="J318" s="2" t="n">
        <v>17</v>
      </c>
      <c r="K318" s="2" t="s">
        <v>1195</v>
      </c>
      <c r="L318" s="2" t="s">
        <v>67</v>
      </c>
      <c r="M318" s="2" t="n">
        <v>183</v>
      </c>
      <c r="N318" s="3" t="n">
        <v>686119</v>
      </c>
      <c r="O318" s="2"/>
      <c r="P318" s="2" t="n">
        <v>16</v>
      </c>
      <c r="Q318" s="3" t="n">
        <v>1303</v>
      </c>
      <c r="R318" s="2" t="n">
        <v>7.01</v>
      </c>
      <c r="S318" s="2" t="n">
        <v>0</v>
      </c>
      <c r="T318" s="2" t="n">
        <v>1</v>
      </c>
      <c r="U318" s="2" t="n">
        <v>0</v>
      </c>
      <c r="V318" s="2"/>
      <c r="W318" s="2"/>
      <c r="X318" s="2" t="n">
        <v>0.07</v>
      </c>
      <c r="Y318" s="2" t="n">
        <v>0.6</v>
      </c>
      <c r="Z318" s="2" t="n">
        <v>0.1</v>
      </c>
      <c r="AA318" s="2" t="n">
        <v>12.5</v>
      </c>
      <c r="AB318" s="2" t="n">
        <v>2</v>
      </c>
      <c r="AC318" s="2" t="n">
        <v>2</v>
      </c>
      <c r="AD318" s="2" t="n">
        <v>0.1</v>
      </c>
      <c r="AE318" s="2"/>
      <c r="AF318" s="2" t="n">
        <v>45.7</v>
      </c>
      <c r="AG318" s="2" t="n">
        <v>87</v>
      </c>
      <c r="AH318" s="2" t="n">
        <v>2.3</v>
      </c>
      <c r="AI318" s="2" t="n">
        <v>42.5</v>
      </c>
      <c r="AJ318" s="2" t="n">
        <v>0.2</v>
      </c>
      <c r="AK318" s="2" t="n">
        <v>37.5</v>
      </c>
      <c r="AL318" s="2"/>
      <c r="AM318" s="2"/>
      <c r="AN318" s="2" t="n">
        <v>8.7</v>
      </c>
      <c r="AO318" s="2" t="n">
        <v>1.6</v>
      </c>
      <c r="AP318" s="2" t="n">
        <v>1.2</v>
      </c>
      <c r="AQ318" s="2" t="n">
        <v>5.5</v>
      </c>
      <c r="AR318" s="2" t="n">
        <v>0.4</v>
      </c>
      <c r="AS318" s="2" t="n">
        <v>3.9</v>
      </c>
      <c r="AT318" s="2" t="n">
        <v>0.1</v>
      </c>
      <c r="AU318" s="2" t="n">
        <v>1.9</v>
      </c>
      <c r="AV318" s="2" t="n">
        <v>0.3</v>
      </c>
      <c r="AW318" s="2" t="n">
        <v>3</v>
      </c>
      <c r="AX318" s="2"/>
      <c r="AY318" s="2" t="n">
        <v>1</v>
      </c>
      <c r="AZ318" s="2"/>
      <c r="BA318" s="2"/>
      <c r="BB318" s="2"/>
      <c r="BC318" s="2"/>
      <c r="BD318" s="4" t="s">
        <v>1196</v>
      </c>
    </row>
    <row r="319" customFormat="false" ht="15" hidden="false" customHeight="false" outlineLevel="0" collapsed="false">
      <c r="A319" s="2" t="n">
        <v>1252865</v>
      </c>
      <c r="B319" s="2" t="s">
        <v>1197</v>
      </c>
      <c r="C319" s="2" t="s">
        <v>1172</v>
      </c>
      <c r="D319" s="2" t="s">
        <v>58</v>
      </c>
      <c r="E319" s="2" t="s">
        <v>59</v>
      </c>
      <c r="F319" s="2" t="s">
        <v>70</v>
      </c>
      <c r="G319" s="2" t="s">
        <v>75</v>
      </c>
      <c r="H319" s="2" t="s">
        <v>75</v>
      </c>
      <c r="I319" s="2" t="n">
        <v>16</v>
      </c>
      <c r="J319" s="2" t="n">
        <v>23</v>
      </c>
      <c r="K319" s="2" t="s">
        <v>1198</v>
      </c>
      <c r="L319" s="2" t="s">
        <v>67</v>
      </c>
      <c r="M319" s="2" t="n">
        <v>170</v>
      </c>
      <c r="N319" s="3" t="n">
        <v>54022</v>
      </c>
      <c r="O319" s="2"/>
      <c r="P319" s="2" t="n">
        <v>9</v>
      </c>
      <c r="Q319" s="3" t="n">
        <v>343</v>
      </c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 t="n">
        <v>1</v>
      </c>
      <c r="AC319" s="2" t="n">
        <v>3</v>
      </c>
      <c r="AD319" s="2" t="n">
        <v>0.8</v>
      </c>
      <c r="AE319" s="2" t="n">
        <v>1</v>
      </c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 t="n">
        <v>1</v>
      </c>
      <c r="AX319" s="2"/>
      <c r="AY319" s="2"/>
      <c r="AZ319" s="2"/>
      <c r="BA319" s="2"/>
      <c r="BB319" s="2"/>
      <c r="BC319" s="2"/>
      <c r="BD319" s="4" t="s">
        <v>1199</v>
      </c>
    </row>
    <row r="320" customFormat="false" ht="15" hidden="false" customHeight="false" outlineLevel="0" collapsed="false">
      <c r="A320" s="2" t="n">
        <v>1516711</v>
      </c>
      <c r="B320" s="2" t="s">
        <v>1200</v>
      </c>
      <c r="C320" s="2" t="s">
        <v>1172</v>
      </c>
      <c r="D320" s="2" t="s">
        <v>58</v>
      </c>
      <c r="E320" s="2" t="s">
        <v>59</v>
      </c>
      <c r="F320" s="2" t="s">
        <v>70</v>
      </c>
      <c r="G320" s="2" t="s">
        <v>75</v>
      </c>
      <c r="H320" s="2" t="s">
        <v>75</v>
      </c>
      <c r="I320" s="2" t="n">
        <v>24</v>
      </c>
      <c r="J320" s="2" t="n">
        <v>23</v>
      </c>
      <c r="K320" s="2" t="s">
        <v>1201</v>
      </c>
      <c r="L320" s="2" t="s">
        <v>67</v>
      </c>
      <c r="M320" s="2" t="n">
        <v>196</v>
      </c>
      <c r="N320" s="3"/>
      <c r="O320" s="2"/>
      <c r="P320" s="2" t="n">
        <v>4</v>
      </c>
      <c r="Q320" s="3" t="n">
        <v>213</v>
      </c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 t="n">
        <v>1</v>
      </c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4" t="s">
        <v>1202</v>
      </c>
    </row>
    <row r="321" customFormat="false" ht="15" hidden="false" customHeight="false" outlineLevel="0" collapsed="false">
      <c r="A321" s="2" t="n">
        <v>1251788</v>
      </c>
      <c r="B321" s="2" t="s">
        <v>1203</v>
      </c>
      <c r="C321" s="2" t="s">
        <v>1172</v>
      </c>
      <c r="D321" s="2" t="s">
        <v>58</v>
      </c>
      <c r="E321" s="2" t="s">
        <v>59</v>
      </c>
      <c r="F321" s="2" t="s">
        <v>102</v>
      </c>
      <c r="G321" s="2" t="s">
        <v>404</v>
      </c>
      <c r="H321" s="2" t="s">
        <v>597</v>
      </c>
      <c r="I321" s="2" t="n">
        <v>8</v>
      </c>
      <c r="J321" s="2" t="n">
        <v>26</v>
      </c>
      <c r="K321" s="2" t="s">
        <v>1204</v>
      </c>
      <c r="L321" s="2" t="s">
        <v>67</v>
      </c>
      <c r="M321" s="2" t="n">
        <v>183</v>
      </c>
      <c r="N321" s="3" t="n">
        <v>147224</v>
      </c>
      <c r="O321" s="2"/>
      <c r="P321" s="2" t="n">
        <v>25</v>
      </c>
      <c r="Q321" s="3" t="n">
        <v>2091</v>
      </c>
      <c r="R321" s="2" t="n">
        <v>7.47</v>
      </c>
      <c r="S321" s="2" t="n">
        <v>1</v>
      </c>
      <c r="T321" s="2"/>
      <c r="U321" s="2"/>
      <c r="V321" s="2" t="n">
        <v>9</v>
      </c>
      <c r="W321" s="2"/>
      <c r="X321" s="2"/>
      <c r="Y321" s="2" t="n">
        <v>1.6</v>
      </c>
      <c r="Z321" s="2" t="n">
        <v>0.4</v>
      </c>
      <c r="AA321" s="2" t="n">
        <v>0</v>
      </c>
      <c r="AB321" s="2"/>
      <c r="AC321" s="2" t="n">
        <v>62</v>
      </c>
      <c r="AD321" s="2" t="n">
        <v>2.7</v>
      </c>
      <c r="AE321" s="2" t="n">
        <v>13</v>
      </c>
      <c r="AF321" s="2" t="n">
        <v>45.3</v>
      </c>
      <c r="AG321" s="2" t="n">
        <v>81.3</v>
      </c>
      <c r="AH321" s="2" t="n">
        <v>3.9</v>
      </c>
      <c r="AI321" s="2" t="n">
        <v>48.6</v>
      </c>
      <c r="AJ321" s="2" t="n">
        <v>0.8</v>
      </c>
      <c r="AK321" s="2" t="n">
        <v>54.5</v>
      </c>
      <c r="AL321" s="2"/>
      <c r="AM321" s="2"/>
      <c r="AN321" s="2" t="n">
        <v>3.3</v>
      </c>
      <c r="AO321" s="2" t="n">
        <v>2.2</v>
      </c>
      <c r="AP321" s="2" t="n">
        <v>0.3</v>
      </c>
      <c r="AQ321" s="2" t="n">
        <v>0.8</v>
      </c>
      <c r="AR321" s="2" t="n">
        <v>0.1</v>
      </c>
      <c r="AS321" s="2" t="n">
        <v>6.2</v>
      </c>
      <c r="AT321" s="2" t="n">
        <v>0.6</v>
      </c>
      <c r="AU321" s="2" t="n">
        <v>3.9</v>
      </c>
      <c r="AV321" s="2" t="n">
        <v>0.9</v>
      </c>
      <c r="AW321" s="2" t="n">
        <v>2</v>
      </c>
      <c r="AX321" s="2"/>
      <c r="AY321" s="2"/>
      <c r="AZ321" s="2"/>
      <c r="BA321" s="2"/>
      <c r="BB321" s="2"/>
      <c r="BC321" s="2"/>
      <c r="BD321" s="4" t="s">
        <v>1205</v>
      </c>
    </row>
    <row r="322" customFormat="false" ht="15" hidden="false" customHeight="false" outlineLevel="0" collapsed="false">
      <c r="A322" s="2" t="n">
        <v>1615825</v>
      </c>
      <c r="B322" s="2" t="s">
        <v>1206</v>
      </c>
      <c r="C322" s="2" t="s">
        <v>1172</v>
      </c>
      <c r="D322" s="2" t="s">
        <v>58</v>
      </c>
      <c r="E322" s="2" t="s">
        <v>59</v>
      </c>
      <c r="F322" s="2" t="s">
        <v>102</v>
      </c>
      <c r="G322" s="2" t="s">
        <v>138</v>
      </c>
      <c r="H322" s="2" t="s">
        <v>1207</v>
      </c>
      <c r="I322" s="2" t="n">
        <v>25</v>
      </c>
      <c r="J322" s="2" t="n">
        <v>25</v>
      </c>
      <c r="K322" s="2" t="s">
        <v>1208</v>
      </c>
      <c r="L322" s="2" t="s">
        <v>67</v>
      </c>
      <c r="M322" s="2" t="n">
        <v>180</v>
      </c>
      <c r="N322" s="3" t="n">
        <v>80651</v>
      </c>
      <c r="O322" s="2"/>
      <c r="P322" s="2" t="n">
        <v>24</v>
      </c>
      <c r="Q322" s="3" t="n">
        <v>1454</v>
      </c>
      <c r="R322" s="2" t="n">
        <v>7.08</v>
      </c>
      <c r="S322" s="2" t="n">
        <v>2</v>
      </c>
      <c r="T322" s="2" t="n">
        <v>7</v>
      </c>
      <c r="U322" s="2" t="n">
        <v>1</v>
      </c>
      <c r="V322" s="2" t="n">
        <v>2</v>
      </c>
      <c r="W322" s="2"/>
      <c r="X322" s="2" t="n">
        <v>0.43</v>
      </c>
      <c r="Y322" s="2" t="n">
        <v>3.3</v>
      </c>
      <c r="Z322" s="2" t="n">
        <v>1.2</v>
      </c>
      <c r="AA322" s="2" t="n">
        <v>13.2</v>
      </c>
      <c r="AB322" s="2" t="n">
        <v>2</v>
      </c>
      <c r="AC322" s="2" t="n">
        <v>32</v>
      </c>
      <c r="AD322" s="2" t="n">
        <v>2</v>
      </c>
      <c r="AE322" s="2" t="n">
        <v>8</v>
      </c>
      <c r="AF322" s="2" t="n">
        <v>20.6</v>
      </c>
      <c r="AG322" s="2" t="n">
        <v>76.5</v>
      </c>
      <c r="AH322" s="2" t="n">
        <v>0.6</v>
      </c>
      <c r="AI322" s="2" t="n">
        <v>32.1</v>
      </c>
      <c r="AJ322" s="2" t="n">
        <v>0.6</v>
      </c>
      <c r="AK322" s="2" t="n">
        <v>34.6</v>
      </c>
      <c r="AL322" s="2"/>
      <c r="AM322" s="2"/>
      <c r="AN322" s="2" t="n">
        <v>2.2</v>
      </c>
      <c r="AO322" s="2" t="n">
        <v>1.1</v>
      </c>
      <c r="AP322" s="2" t="n">
        <v>0.3</v>
      </c>
      <c r="AQ322" s="2" t="n">
        <v>0.7</v>
      </c>
      <c r="AR322" s="2" t="n">
        <v>0.1</v>
      </c>
      <c r="AS322" s="2" t="n">
        <v>3.6</v>
      </c>
      <c r="AT322" s="2" t="n">
        <v>0.4</v>
      </c>
      <c r="AU322" s="2" t="n">
        <v>2.2</v>
      </c>
      <c r="AV322" s="2" t="n">
        <v>0.7</v>
      </c>
      <c r="AW322" s="2" t="n">
        <v>2</v>
      </c>
      <c r="AX322" s="2"/>
      <c r="AY322" s="2"/>
      <c r="AZ322" s="2"/>
      <c r="BA322" s="2"/>
      <c r="BB322" s="2"/>
      <c r="BC322" s="2"/>
      <c r="BD322" s="4" t="s">
        <v>1209</v>
      </c>
    </row>
    <row r="323" customFormat="false" ht="15" hidden="false" customHeight="false" outlineLevel="0" collapsed="false">
      <c r="A323" s="2" t="n">
        <v>1250356</v>
      </c>
      <c r="B323" s="2" t="s">
        <v>1210</v>
      </c>
      <c r="C323" s="2" t="s">
        <v>1172</v>
      </c>
      <c r="D323" s="2" t="s">
        <v>58</v>
      </c>
      <c r="E323" s="2" t="s">
        <v>59</v>
      </c>
      <c r="F323" s="2" t="s">
        <v>102</v>
      </c>
      <c r="G323" s="2" t="s">
        <v>75</v>
      </c>
      <c r="H323" s="2" t="s">
        <v>1211</v>
      </c>
      <c r="I323" s="2" t="n">
        <v>2</v>
      </c>
      <c r="J323" s="2" t="n">
        <v>28</v>
      </c>
      <c r="K323" s="2" t="s">
        <v>1212</v>
      </c>
      <c r="L323" s="2" t="s">
        <v>67</v>
      </c>
      <c r="M323" s="2" t="n">
        <v>178</v>
      </c>
      <c r="N323" s="3" t="n">
        <v>50000</v>
      </c>
      <c r="O323" s="2"/>
      <c r="P323" s="2" t="n">
        <v>18</v>
      </c>
      <c r="Q323" s="3" t="n">
        <v>1396</v>
      </c>
      <c r="R323" s="2" t="n">
        <v>7.09</v>
      </c>
      <c r="S323" s="2" t="n">
        <v>0</v>
      </c>
      <c r="T323" s="2" t="n">
        <v>2</v>
      </c>
      <c r="U323" s="2" t="n">
        <v>0</v>
      </c>
      <c r="V323" s="2" t="n">
        <v>1</v>
      </c>
      <c r="W323" s="2"/>
      <c r="X323" s="2" t="n">
        <v>0.13</v>
      </c>
      <c r="Y323" s="2" t="n">
        <v>1</v>
      </c>
      <c r="Z323" s="2" t="n">
        <v>0.4</v>
      </c>
      <c r="AA323" s="2" t="n">
        <v>12.5</v>
      </c>
      <c r="AB323" s="2"/>
      <c r="AC323" s="2" t="n">
        <v>19</v>
      </c>
      <c r="AD323" s="2" t="n">
        <v>1.2</v>
      </c>
      <c r="AE323" s="2" t="n">
        <v>4</v>
      </c>
      <c r="AF323" s="2" t="n">
        <v>32.4</v>
      </c>
      <c r="AG323" s="2" t="n">
        <v>80</v>
      </c>
      <c r="AH323" s="2" t="n">
        <v>2.4</v>
      </c>
      <c r="AI323" s="2" t="n">
        <v>49.3</v>
      </c>
      <c r="AJ323" s="2" t="n">
        <v>0.4</v>
      </c>
      <c r="AK323" s="2" t="n">
        <v>37.5</v>
      </c>
      <c r="AL323" s="2"/>
      <c r="AM323" s="2"/>
      <c r="AN323" s="2" t="n">
        <v>5.4</v>
      </c>
      <c r="AO323" s="2" t="n">
        <v>1.2</v>
      </c>
      <c r="AP323" s="2" t="n">
        <v>0.8</v>
      </c>
      <c r="AQ323" s="2" t="n">
        <v>3.3</v>
      </c>
      <c r="AR323" s="2" t="n">
        <v>0.1</v>
      </c>
      <c r="AS323" s="2" t="n">
        <v>2.8</v>
      </c>
      <c r="AT323" s="2" t="n">
        <v>0.4</v>
      </c>
      <c r="AU323" s="2" t="n">
        <v>1</v>
      </c>
      <c r="AV323" s="2" t="n">
        <v>1.1</v>
      </c>
      <c r="AW323" s="2" t="n">
        <v>5</v>
      </c>
      <c r="AX323" s="2"/>
      <c r="AY323" s="2" t="n">
        <v>1</v>
      </c>
      <c r="AZ323" s="2"/>
      <c r="BA323" s="2"/>
      <c r="BB323" s="2"/>
      <c r="BC323" s="2"/>
      <c r="BD323" s="4" t="s">
        <v>1213</v>
      </c>
    </row>
    <row r="324" customFormat="false" ht="15" hidden="false" customHeight="false" outlineLevel="0" collapsed="false">
      <c r="A324" s="2" t="n">
        <v>1338761</v>
      </c>
      <c r="B324" s="2" t="s">
        <v>1214</v>
      </c>
      <c r="C324" s="2" t="s">
        <v>1172</v>
      </c>
      <c r="D324" s="2" t="s">
        <v>58</v>
      </c>
      <c r="E324" s="2" t="s">
        <v>59</v>
      </c>
      <c r="F324" s="2" t="s">
        <v>102</v>
      </c>
      <c r="G324" s="2" t="s">
        <v>658</v>
      </c>
      <c r="H324" s="2" t="s">
        <v>1215</v>
      </c>
      <c r="I324" s="2" t="n">
        <v>3</v>
      </c>
      <c r="J324" s="2" t="n">
        <v>27</v>
      </c>
      <c r="K324" s="2" t="s">
        <v>1216</v>
      </c>
      <c r="L324" s="2" t="s">
        <v>67</v>
      </c>
      <c r="M324" s="2" t="n">
        <v>188</v>
      </c>
      <c r="N324" s="3" t="n">
        <v>105265</v>
      </c>
      <c r="O324" s="2"/>
      <c r="P324" s="2" t="n">
        <v>20</v>
      </c>
      <c r="Q324" s="3" t="n">
        <v>1383</v>
      </c>
      <c r="R324" s="2" t="n">
        <v>6.93</v>
      </c>
      <c r="S324" s="2" t="n">
        <v>0</v>
      </c>
      <c r="T324" s="2" t="n">
        <v>4</v>
      </c>
      <c r="U324" s="2" t="n">
        <v>0</v>
      </c>
      <c r="V324" s="2" t="n">
        <v>1</v>
      </c>
      <c r="W324" s="2"/>
      <c r="X324" s="2" t="n">
        <v>0.26</v>
      </c>
      <c r="Y324" s="2" t="n">
        <v>1.9</v>
      </c>
      <c r="Z324" s="2" t="n">
        <v>0.7</v>
      </c>
      <c r="AA324" s="2" t="n">
        <v>13.8</v>
      </c>
      <c r="AB324" s="2" t="n">
        <v>2</v>
      </c>
      <c r="AC324" s="2" t="n">
        <v>12</v>
      </c>
      <c r="AD324" s="2" t="n">
        <v>0.8</v>
      </c>
      <c r="AE324" s="2" t="n">
        <v>1</v>
      </c>
      <c r="AF324" s="2" t="n">
        <v>24.1</v>
      </c>
      <c r="AG324" s="2" t="n">
        <v>78.2</v>
      </c>
      <c r="AH324" s="2" t="n">
        <v>1.9</v>
      </c>
      <c r="AI324" s="2" t="n">
        <v>52.7</v>
      </c>
      <c r="AJ324" s="2" t="n">
        <v>0.8</v>
      </c>
      <c r="AK324" s="2" t="n">
        <v>36.1</v>
      </c>
      <c r="AL324" s="2"/>
      <c r="AM324" s="2"/>
      <c r="AN324" s="2" t="n">
        <v>4.8</v>
      </c>
      <c r="AO324" s="2" t="n">
        <v>1.5</v>
      </c>
      <c r="AP324" s="2" t="n">
        <v>0.3</v>
      </c>
      <c r="AQ324" s="2" t="n">
        <v>2.7</v>
      </c>
      <c r="AR324" s="2" t="n">
        <v>0.3</v>
      </c>
      <c r="AS324" s="2" t="n">
        <v>4.4</v>
      </c>
      <c r="AT324" s="2" t="n">
        <v>0.8</v>
      </c>
      <c r="AU324" s="2" t="n">
        <v>1.7</v>
      </c>
      <c r="AV324" s="2" t="n">
        <v>1</v>
      </c>
      <c r="AW324" s="2" t="n">
        <v>1</v>
      </c>
      <c r="AX324" s="2"/>
      <c r="AY324" s="2"/>
      <c r="AZ324" s="2"/>
      <c r="BA324" s="2"/>
      <c r="BB324" s="2"/>
      <c r="BC324" s="2"/>
      <c r="BD324" s="4" t="s">
        <v>1217</v>
      </c>
    </row>
    <row r="325" customFormat="false" ht="15" hidden="false" customHeight="false" outlineLevel="0" collapsed="false">
      <c r="A325" s="2" t="n">
        <v>1083224</v>
      </c>
      <c r="B325" s="2" t="s">
        <v>1218</v>
      </c>
      <c r="C325" s="2" t="s">
        <v>1172</v>
      </c>
      <c r="D325" s="2" t="s">
        <v>58</v>
      </c>
      <c r="E325" s="2" t="s">
        <v>59</v>
      </c>
      <c r="F325" s="2" t="s">
        <v>102</v>
      </c>
      <c r="G325" s="2" t="s">
        <v>138</v>
      </c>
      <c r="H325" s="2" t="s">
        <v>1219</v>
      </c>
      <c r="I325" s="2" t="n">
        <v>7</v>
      </c>
      <c r="J325" s="2" t="n">
        <v>24</v>
      </c>
      <c r="K325" s="2" t="s">
        <v>1220</v>
      </c>
      <c r="L325" s="2" t="s">
        <v>67</v>
      </c>
      <c r="M325" s="2" t="n">
        <v>170</v>
      </c>
      <c r="N325" s="3" t="n">
        <v>74164</v>
      </c>
      <c r="O325" s="2"/>
      <c r="P325" s="2" t="n">
        <v>23</v>
      </c>
      <c r="Q325" s="3" t="n">
        <v>1358</v>
      </c>
      <c r="R325" s="2" t="n">
        <v>7.07</v>
      </c>
      <c r="S325" s="2" t="n">
        <v>1</v>
      </c>
      <c r="T325" s="2" t="n">
        <v>5</v>
      </c>
      <c r="U325" s="2" t="n">
        <v>0</v>
      </c>
      <c r="V325" s="2" t="n">
        <v>4</v>
      </c>
      <c r="W325" s="2"/>
      <c r="X325" s="2" t="n">
        <v>0.33</v>
      </c>
      <c r="Y325" s="2" t="n">
        <v>2.8</v>
      </c>
      <c r="Z325" s="2" t="n">
        <v>0.9</v>
      </c>
      <c r="AA325" s="2" t="n">
        <v>11.6</v>
      </c>
      <c r="AB325" s="2" t="n">
        <v>7</v>
      </c>
      <c r="AC325" s="2" t="n">
        <v>24</v>
      </c>
      <c r="AD325" s="2" t="n">
        <v>1.6</v>
      </c>
      <c r="AE325" s="2" t="n">
        <v>4</v>
      </c>
      <c r="AF325" s="2" t="n">
        <v>23.9</v>
      </c>
      <c r="AG325" s="2" t="n">
        <v>78.6</v>
      </c>
      <c r="AH325" s="2" t="n">
        <v>2.3</v>
      </c>
      <c r="AI325" s="2" t="n">
        <v>64.2</v>
      </c>
      <c r="AJ325" s="2" t="n">
        <v>0.7</v>
      </c>
      <c r="AK325" s="2" t="n">
        <v>45.5</v>
      </c>
      <c r="AL325" s="2"/>
      <c r="AM325" s="2"/>
      <c r="AN325" s="2" t="n">
        <v>1.7</v>
      </c>
      <c r="AO325" s="2" t="n">
        <v>0.6</v>
      </c>
      <c r="AP325" s="2" t="n">
        <v>0.5</v>
      </c>
      <c r="AQ325" s="2" t="n">
        <v>0.6</v>
      </c>
      <c r="AR325" s="2" t="n">
        <v>0.1</v>
      </c>
      <c r="AS325" s="2" t="n">
        <v>3.5</v>
      </c>
      <c r="AT325" s="2" t="n">
        <v>0.9</v>
      </c>
      <c r="AU325" s="2" t="n">
        <v>2.2</v>
      </c>
      <c r="AV325" s="2" t="n">
        <v>0.5</v>
      </c>
      <c r="AW325" s="2" t="n">
        <v>1</v>
      </c>
      <c r="AX325" s="2"/>
      <c r="AY325" s="2"/>
      <c r="AZ325" s="2"/>
      <c r="BA325" s="2"/>
      <c r="BB325" s="2"/>
      <c r="BC325" s="2"/>
      <c r="BD325" s="4" t="s">
        <v>1221</v>
      </c>
    </row>
    <row r="326" customFormat="false" ht="15" hidden="false" customHeight="false" outlineLevel="0" collapsed="false">
      <c r="A326" s="2" t="n">
        <v>1018588</v>
      </c>
      <c r="B326" s="2" t="s">
        <v>1222</v>
      </c>
      <c r="C326" s="2" t="s">
        <v>1172</v>
      </c>
      <c r="D326" s="2" t="s">
        <v>58</v>
      </c>
      <c r="E326" s="2" t="s">
        <v>59</v>
      </c>
      <c r="F326" s="2" t="s">
        <v>102</v>
      </c>
      <c r="G326" s="2" t="s">
        <v>673</v>
      </c>
      <c r="H326" s="2" t="s">
        <v>1223</v>
      </c>
      <c r="I326" s="2" t="n">
        <v>15</v>
      </c>
      <c r="J326" s="2" t="n">
        <v>27</v>
      </c>
      <c r="K326" s="2" t="s">
        <v>1224</v>
      </c>
      <c r="L326" s="2" t="s">
        <v>67</v>
      </c>
      <c r="M326" s="2" t="n">
        <v>183</v>
      </c>
      <c r="N326" s="3" t="n">
        <v>50000</v>
      </c>
      <c r="O326" s="2"/>
      <c r="P326" s="2" t="n">
        <v>22</v>
      </c>
      <c r="Q326" s="3" t="n">
        <v>1222</v>
      </c>
      <c r="R326" s="2" t="n">
        <v>6.89</v>
      </c>
      <c r="S326" s="2" t="n">
        <v>0</v>
      </c>
      <c r="T326" s="2" t="n">
        <v>1</v>
      </c>
      <c r="U326" s="2" t="n">
        <v>0</v>
      </c>
      <c r="V326" s="2" t="n">
        <v>1</v>
      </c>
      <c r="W326" s="2"/>
      <c r="X326" s="2" t="n">
        <v>0.07</v>
      </c>
      <c r="Y326" s="2" t="n">
        <v>1.3</v>
      </c>
      <c r="Z326" s="2" t="n">
        <v>0.6</v>
      </c>
      <c r="AA326" s="2" t="n">
        <v>5.6</v>
      </c>
      <c r="AB326" s="2" t="n">
        <v>1</v>
      </c>
      <c r="AC326" s="2" t="n">
        <v>16</v>
      </c>
      <c r="AD326" s="2" t="n">
        <v>1.2</v>
      </c>
      <c r="AE326" s="2" t="n">
        <v>4</v>
      </c>
      <c r="AF326" s="2" t="n">
        <v>23.9</v>
      </c>
      <c r="AG326" s="2" t="n">
        <v>79.5</v>
      </c>
      <c r="AH326" s="2" t="n">
        <v>0.8</v>
      </c>
      <c r="AI326" s="2" t="n">
        <v>34.4</v>
      </c>
      <c r="AJ326" s="2" t="n">
        <v>1.2</v>
      </c>
      <c r="AK326" s="2" t="n">
        <v>61.5</v>
      </c>
      <c r="AL326" s="2"/>
      <c r="AM326" s="2"/>
      <c r="AN326" s="2" t="n">
        <v>5.1</v>
      </c>
      <c r="AO326" s="2" t="n">
        <v>1.9</v>
      </c>
      <c r="AP326" s="2" t="n">
        <v>0.3</v>
      </c>
      <c r="AQ326" s="2" t="n">
        <v>2.8</v>
      </c>
      <c r="AR326" s="2" t="n">
        <v>0.1</v>
      </c>
      <c r="AS326" s="2" t="n">
        <v>4.5</v>
      </c>
      <c r="AT326" s="2" t="n">
        <v>0.5</v>
      </c>
      <c r="AU326" s="2" t="n">
        <v>2.2</v>
      </c>
      <c r="AV326" s="2" t="n">
        <v>1.3</v>
      </c>
      <c r="AW326" s="2" t="n">
        <v>2</v>
      </c>
      <c r="AX326" s="2"/>
      <c r="AY326" s="2"/>
      <c r="AZ326" s="2"/>
      <c r="BA326" s="2"/>
      <c r="BB326" s="2"/>
      <c r="BC326" s="2"/>
      <c r="BD326" s="4" t="s">
        <v>1225</v>
      </c>
    </row>
    <row r="327" customFormat="false" ht="15" hidden="false" customHeight="false" outlineLevel="0" collapsed="false">
      <c r="A327" s="2" t="n">
        <v>1030785</v>
      </c>
      <c r="B327" s="2" t="s">
        <v>1226</v>
      </c>
      <c r="C327" s="2" t="s">
        <v>1172</v>
      </c>
      <c r="D327" s="2" t="s">
        <v>58</v>
      </c>
      <c r="E327" s="2" t="s">
        <v>59</v>
      </c>
      <c r="F327" s="2" t="s">
        <v>102</v>
      </c>
      <c r="G327" s="2" t="s">
        <v>404</v>
      </c>
      <c r="H327" s="2" t="s">
        <v>597</v>
      </c>
      <c r="I327" s="2" t="n">
        <v>6</v>
      </c>
      <c r="J327" s="2" t="n">
        <v>26</v>
      </c>
      <c r="K327" s="2" t="s">
        <v>1227</v>
      </c>
      <c r="L327" s="2" t="s">
        <v>125</v>
      </c>
      <c r="M327" s="2" t="n">
        <v>183</v>
      </c>
      <c r="N327" s="3" t="n">
        <v>66939</v>
      </c>
      <c r="O327" s="2"/>
      <c r="P327" s="2" t="n">
        <v>20</v>
      </c>
      <c r="Q327" s="3" t="n">
        <v>1182</v>
      </c>
      <c r="R327" s="2" t="n">
        <v>6.86</v>
      </c>
      <c r="S327" s="2" t="n">
        <v>1</v>
      </c>
      <c r="T327" s="2" t="n">
        <v>2</v>
      </c>
      <c r="U327" s="2" t="n">
        <v>0</v>
      </c>
      <c r="V327" s="2" t="n">
        <v>1</v>
      </c>
      <c r="W327" s="2"/>
      <c r="X327" s="2" t="n">
        <v>0.15</v>
      </c>
      <c r="Y327" s="2" t="n">
        <v>2.1</v>
      </c>
      <c r="Z327" s="2" t="n">
        <v>0.5</v>
      </c>
      <c r="AA327" s="2" t="n">
        <v>7.4</v>
      </c>
      <c r="AB327" s="2" t="n">
        <v>2</v>
      </c>
      <c r="AC327" s="2" t="n">
        <v>9</v>
      </c>
      <c r="AD327" s="2" t="n">
        <v>0.7</v>
      </c>
      <c r="AE327" s="2" t="n">
        <v>2</v>
      </c>
      <c r="AF327" s="2" t="n">
        <v>30.9</v>
      </c>
      <c r="AG327" s="2" t="n">
        <v>77.3</v>
      </c>
      <c r="AH327" s="2" t="n">
        <v>2.1</v>
      </c>
      <c r="AI327" s="2" t="n">
        <v>48.2</v>
      </c>
      <c r="AJ327" s="2" t="n">
        <v>0.8</v>
      </c>
      <c r="AK327" s="2" t="n">
        <v>62.5</v>
      </c>
      <c r="AL327" s="2"/>
      <c r="AM327" s="2"/>
      <c r="AN327" s="2" t="n">
        <v>4.1</v>
      </c>
      <c r="AO327" s="2" t="n">
        <v>1.8</v>
      </c>
      <c r="AP327" s="2" t="n">
        <v>1.6</v>
      </c>
      <c r="AQ327" s="2" t="n">
        <v>0.6</v>
      </c>
      <c r="AR327" s="2" t="n">
        <v>0.2</v>
      </c>
      <c r="AS327" s="2" t="n">
        <v>4.7</v>
      </c>
      <c r="AT327" s="2" t="n">
        <v>0.6</v>
      </c>
      <c r="AU327" s="2" t="n">
        <v>3</v>
      </c>
      <c r="AV327" s="2" t="n">
        <v>2.2</v>
      </c>
      <c r="AW327" s="2" t="n">
        <v>4</v>
      </c>
      <c r="AX327" s="2"/>
      <c r="AY327" s="2"/>
      <c r="AZ327" s="2"/>
      <c r="BA327" s="2"/>
      <c r="BB327" s="2"/>
      <c r="BC327" s="2"/>
      <c r="BD327" s="4" t="s">
        <v>1228</v>
      </c>
    </row>
    <row r="328" customFormat="false" ht="15" hidden="false" customHeight="false" outlineLevel="0" collapsed="false">
      <c r="A328" s="2" t="n">
        <v>621932</v>
      </c>
      <c r="B328" s="2" t="s">
        <v>1229</v>
      </c>
      <c r="C328" s="2" t="s">
        <v>1172</v>
      </c>
      <c r="D328" s="2" t="s">
        <v>58</v>
      </c>
      <c r="E328" s="2" t="s">
        <v>59</v>
      </c>
      <c r="F328" s="2" t="s">
        <v>102</v>
      </c>
      <c r="G328" s="2" t="s">
        <v>221</v>
      </c>
      <c r="H328" s="2" t="s">
        <v>1230</v>
      </c>
      <c r="I328" s="2" t="n">
        <v>13</v>
      </c>
      <c r="J328" s="2" t="n">
        <v>33</v>
      </c>
      <c r="K328" s="2" t="s">
        <v>1231</v>
      </c>
      <c r="L328" s="2" t="s">
        <v>67</v>
      </c>
      <c r="M328" s="2" t="n">
        <v>177</v>
      </c>
      <c r="N328" s="3" t="n">
        <v>50000</v>
      </c>
      <c r="O328" s="2"/>
      <c r="P328" s="2" t="n">
        <v>19</v>
      </c>
      <c r="Q328" s="3" t="n">
        <v>948</v>
      </c>
      <c r="R328" s="2" t="n">
        <v>6.39</v>
      </c>
      <c r="S328" s="2" t="n">
        <v>0</v>
      </c>
      <c r="T328" s="2"/>
      <c r="U328" s="2"/>
      <c r="V328" s="2"/>
      <c r="W328" s="2"/>
      <c r="X328" s="2"/>
      <c r="Y328" s="2" t="n">
        <v>0.5</v>
      </c>
      <c r="Z328" s="2" t="n">
        <v>0.3</v>
      </c>
      <c r="AA328" s="2" t="n">
        <v>0</v>
      </c>
      <c r="AB328" s="2" t="n">
        <v>1</v>
      </c>
      <c r="AC328" s="2" t="n">
        <v>8</v>
      </c>
      <c r="AD328" s="2" t="n">
        <v>0.8</v>
      </c>
      <c r="AE328" s="2"/>
      <c r="AF328" s="2" t="n">
        <v>25.3</v>
      </c>
      <c r="AG328" s="2" t="n">
        <v>78.2</v>
      </c>
      <c r="AH328" s="2" t="n">
        <v>1.8</v>
      </c>
      <c r="AI328" s="2" t="n">
        <v>42.2</v>
      </c>
      <c r="AJ328" s="2" t="n">
        <v>0.1</v>
      </c>
      <c r="AK328" s="2" t="n">
        <v>100</v>
      </c>
      <c r="AL328" s="2"/>
      <c r="AM328" s="2"/>
      <c r="AN328" s="2" t="n">
        <v>5.1</v>
      </c>
      <c r="AO328" s="2" t="n">
        <v>0.7</v>
      </c>
      <c r="AP328" s="2" t="n">
        <v>1</v>
      </c>
      <c r="AQ328" s="2" t="n">
        <v>2.8</v>
      </c>
      <c r="AR328" s="2" t="n">
        <v>0.7</v>
      </c>
      <c r="AS328" s="2" t="n">
        <v>3.2</v>
      </c>
      <c r="AT328" s="2" t="n">
        <v>0.2</v>
      </c>
      <c r="AU328" s="2" t="n">
        <v>1.2</v>
      </c>
      <c r="AV328" s="2" t="n">
        <v>1.2</v>
      </c>
      <c r="AW328" s="2" t="n">
        <v>3</v>
      </c>
      <c r="AX328" s="2"/>
      <c r="AY328" s="2"/>
      <c r="AZ328" s="2"/>
      <c r="BA328" s="2"/>
      <c r="BB328" s="2"/>
      <c r="BC328" s="2"/>
      <c r="BD328" s="4" t="s">
        <v>1232</v>
      </c>
    </row>
    <row r="329" customFormat="false" ht="15" hidden="false" customHeight="false" outlineLevel="0" collapsed="false">
      <c r="A329" s="2" t="n">
        <v>822741</v>
      </c>
      <c r="B329" s="2" t="s">
        <v>1233</v>
      </c>
      <c r="C329" s="2" t="s">
        <v>1172</v>
      </c>
      <c r="D329" s="2" t="s">
        <v>58</v>
      </c>
      <c r="E329" s="2" t="s">
        <v>59</v>
      </c>
      <c r="F329" s="2" t="s">
        <v>102</v>
      </c>
      <c r="G329" s="2" t="s">
        <v>404</v>
      </c>
      <c r="H329" s="2" t="s">
        <v>1234</v>
      </c>
      <c r="I329" s="2" t="n">
        <v>31</v>
      </c>
      <c r="J329" s="2" t="n">
        <v>29</v>
      </c>
      <c r="K329" s="2" t="s">
        <v>1235</v>
      </c>
      <c r="L329" s="2" t="s">
        <v>85</v>
      </c>
      <c r="M329" s="2" t="n">
        <v>193</v>
      </c>
      <c r="N329" s="3" t="n">
        <v>50000</v>
      </c>
      <c r="O329" s="2"/>
      <c r="P329" s="2" t="n">
        <v>10</v>
      </c>
      <c r="Q329" s="3" t="n">
        <v>730</v>
      </c>
      <c r="R329" s="2"/>
      <c r="S329" s="2"/>
      <c r="T329" s="2" t="n">
        <v>2</v>
      </c>
      <c r="U329" s="2" t="n">
        <v>0</v>
      </c>
      <c r="V329" s="2"/>
      <c r="W329" s="2"/>
      <c r="X329" s="2"/>
      <c r="Y329" s="2"/>
      <c r="Z329" s="2"/>
      <c r="AA329" s="2"/>
      <c r="AB329" s="2"/>
      <c r="AC329" s="2" t="n">
        <v>10</v>
      </c>
      <c r="AD329" s="2" t="n">
        <v>1.2</v>
      </c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4" t="s">
        <v>1236</v>
      </c>
    </row>
    <row r="330" customFormat="false" ht="15" hidden="false" customHeight="false" outlineLevel="0" collapsed="false">
      <c r="A330" s="2" t="n">
        <v>1035619</v>
      </c>
      <c r="B330" s="2" t="s">
        <v>1237</v>
      </c>
      <c r="C330" s="2" t="s">
        <v>1172</v>
      </c>
      <c r="D330" s="2" t="s">
        <v>58</v>
      </c>
      <c r="E330" s="2" t="s">
        <v>59</v>
      </c>
      <c r="F330" s="2" t="s">
        <v>102</v>
      </c>
      <c r="G330" s="2" t="s">
        <v>427</v>
      </c>
      <c r="H330" s="2" t="s">
        <v>1238</v>
      </c>
      <c r="I330" s="2" t="n">
        <v>23</v>
      </c>
      <c r="J330" s="2" t="n">
        <v>30</v>
      </c>
      <c r="K330" s="2" t="s">
        <v>1239</v>
      </c>
      <c r="L330" s="2" t="s">
        <v>110</v>
      </c>
      <c r="M330" s="2" t="n">
        <v>178</v>
      </c>
      <c r="N330" s="3" t="n">
        <v>50000</v>
      </c>
      <c r="O330" s="2"/>
      <c r="P330" s="2" t="n">
        <v>14</v>
      </c>
      <c r="Q330" s="3" t="n">
        <v>553</v>
      </c>
      <c r="R330" s="2"/>
      <c r="S330" s="2"/>
      <c r="T330" s="2"/>
      <c r="U330" s="2"/>
      <c r="V330" s="2"/>
      <c r="W330" s="2"/>
      <c r="X330" s="2"/>
      <c r="Y330" s="2" t="n">
        <v>0.7</v>
      </c>
      <c r="Z330" s="2"/>
      <c r="AA330" s="2" t="n">
        <v>0</v>
      </c>
      <c r="AB330" s="2" t="n">
        <v>1</v>
      </c>
      <c r="AC330" s="2" t="n">
        <v>8</v>
      </c>
      <c r="AD330" s="2" t="n">
        <v>1.3</v>
      </c>
      <c r="AE330" s="2" t="n">
        <v>1</v>
      </c>
      <c r="AF330" s="2" t="n">
        <v>23.6</v>
      </c>
      <c r="AG330" s="2" t="n">
        <v>75.5</v>
      </c>
      <c r="AH330" s="2" t="n">
        <v>0.2</v>
      </c>
      <c r="AI330" s="2" t="n">
        <v>11.1</v>
      </c>
      <c r="AJ330" s="2" t="n">
        <v>0.3</v>
      </c>
      <c r="AK330" s="2" t="n">
        <v>25</v>
      </c>
      <c r="AL330" s="2"/>
      <c r="AM330" s="2"/>
      <c r="AN330" s="2" t="n">
        <v>5.4</v>
      </c>
      <c r="AO330" s="2" t="n">
        <v>2</v>
      </c>
      <c r="AP330" s="2" t="n">
        <v>1.1</v>
      </c>
      <c r="AQ330" s="2" t="n">
        <v>2.3</v>
      </c>
      <c r="AR330" s="2"/>
      <c r="AS330" s="2" t="n">
        <v>2.8</v>
      </c>
      <c r="AT330" s="2"/>
      <c r="AU330" s="2"/>
      <c r="AV330" s="2" t="n">
        <v>1.3</v>
      </c>
      <c r="AW330" s="2"/>
      <c r="AX330" s="2"/>
      <c r="AY330" s="2"/>
      <c r="AZ330" s="2"/>
      <c r="BA330" s="2"/>
      <c r="BB330" s="2"/>
      <c r="BC330" s="2"/>
      <c r="BD330" s="4" t="s">
        <v>1240</v>
      </c>
    </row>
    <row r="331" customFormat="false" ht="15" hidden="false" customHeight="false" outlineLevel="0" collapsed="false">
      <c r="A331" s="2" t="n">
        <v>1780447</v>
      </c>
      <c r="B331" s="2" t="s">
        <v>1241</v>
      </c>
      <c r="C331" s="2" t="s">
        <v>1172</v>
      </c>
      <c r="D331" s="2" t="s">
        <v>58</v>
      </c>
      <c r="E331" s="2" t="s">
        <v>59</v>
      </c>
      <c r="F331" s="2" t="s">
        <v>102</v>
      </c>
      <c r="G331" s="2" t="s">
        <v>103</v>
      </c>
      <c r="H331" s="2" t="s">
        <v>128</v>
      </c>
      <c r="I331" s="2" t="n">
        <v>19</v>
      </c>
      <c r="J331" s="2" t="n">
        <v>24</v>
      </c>
      <c r="K331" s="2" t="s">
        <v>1242</v>
      </c>
      <c r="L331" s="2" t="s">
        <v>89</v>
      </c>
      <c r="M331" s="2" t="n">
        <v>180</v>
      </c>
      <c r="N331" s="3" t="n">
        <v>79552</v>
      </c>
      <c r="O331" s="2"/>
      <c r="P331" s="2" t="n">
        <v>10</v>
      </c>
      <c r="Q331" s="3" t="n">
        <v>295</v>
      </c>
      <c r="R331" s="2"/>
      <c r="S331" s="2"/>
      <c r="T331" s="2" t="n">
        <v>1</v>
      </c>
      <c r="U331" s="2" t="n">
        <v>0</v>
      </c>
      <c r="V331" s="2"/>
      <c r="W331" s="2"/>
      <c r="X331" s="2"/>
      <c r="Y331" s="2"/>
      <c r="Z331" s="2"/>
      <c r="AA331" s="2"/>
      <c r="AB331" s="2" t="n">
        <v>1</v>
      </c>
      <c r="AC331" s="2" t="n">
        <v>3</v>
      </c>
      <c r="AD331" s="2" t="n">
        <v>0.9</v>
      </c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 t="n">
        <v>3</v>
      </c>
      <c r="AX331" s="2"/>
      <c r="AY331" s="2" t="n">
        <v>1</v>
      </c>
      <c r="AZ331" s="2"/>
      <c r="BA331" s="2"/>
      <c r="BB331" s="2"/>
      <c r="BC331" s="2"/>
      <c r="BD331" s="4" t="s">
        <v>1243</v>
      </c>
    </row>
    <row r="332" customFormat="false" ht="15" hidden="false" customHeight="false" outlineLevel="0" collapsed="false">
      <c r="A332" s="2" t="n">
        <v>1166263</v>
      </c>
      <c r="B332" s="2" t="s">
        <v>1244</v>
      </c>
      <c r="C332" s="2" t="s">
        <v>1172</v>
      </c>
      <c r="D332" s="2" t="s">
        <v>58</v>
      </c>
      <c r="E332" s="2" t="s">
        <v>59</v>
      </c>
      <c r="F332" s="2" t="s">
        <v>102</v>
      </c>
      <c r="G332" s="2" t="s">
        <v>658</v>
      </c>
      <c r="H332" s="2" t="s">
        <v>658</v>
      </c>
      <c r="I332" s="2" t="n">
        <v>28</v>
      </c>
      <c r="J332" s="2" t="n">
        <v>25</v>
      </c>
      <c r="K332" s="2" t="s">
        <v>1245</v>
      </c>
      <c r="L332" s="2" t="s">
        <v>67</v>
      </c>
      <c r="M332" s="2" t="n">
        <v>170</v>
      </c>
      <c r="N332" s="3" t="n">
        <v>78466</v>
      </c>
      <c r="O332" s="2"/>
      <c r="P332" s="2" t="n">
        <v>2</v>
      </c>
      <c r="Q332" s="3" t="n">
        <v>47</v>
      </c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 t="n">
        <v>1</v>
      </c>
      <c r="AD332" s="2" t="n">
        <v>1.9</v>
      </c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4" t="s">
        <v>1246</v>
      </c>
    </row>
    <row r="333" customFormat="false" ht="15" hidden="false" customHeight="false" outlineLevel="0" collapsed="false">
      <c r="A333" s="2" t="n">
        <v>1346897</v>
      </c>
      <c r="B333" s="2" t="s">
        <v>1247</v>
      </c>
      <c r="C333" s="2" t="s">
        <v>1172</v>
      </c>
      <c r="D333" s="2" t="s">
        <v>58</v>
      </c>
      <c r="E333" s="2" t="s">
        <v>59</v>
      </c>
      <c r="F333" s="2" t="s">
        <v>137</v>
      </c>
      <c r="G333" s="2" t="s">
        <v>147</v>
      </c>
      <c r="H333" s="2" t="s">
        <v>147</v>
      </c>
      <c r="I333" s="2" t="n">
        <v>9</v>
      </c>
      <c r="J333" s="2" t="n">
        <v>26</v>
      </c>
      <c r="K333" s="2" t="s">
        <v>1248</v>
      </c>
      <c r="L333" s="2" t="s">
        <v>67</v>
      </c>
      <c r="M333" s="2" t="n">
        <v>188</v>
      </c>
      <c r="N333" s="3" t="n">
        <v>156192</v>
      </c>
      <c r="O333" s="2"/>
      <c r="P333" s="2" t="n">
        <v>26</v>
      </c>
      <c r="Q333" s="3" t="n">
        <v>1840</v>
      </c>
      <c r="R333" s="2" t="n">
        <v>6.91</v>
      </c>
      <c r="S333" s="2" t="n">
        <v>0</v>
      </c>
      <c r="T333" s="2" t="n">
        <v>7</v>
      </c>
      <c r="U333" s="2" t="n">
        <v>0</v>
      </c>
      <c r="V333" s="2" t="n">
        <v>4</v>
      </c>
      <c r="W333" s="2"/>
      <c r="X333" s="2" t="n">
        <v>0.34</v>
      </c>
      <c r="Y333" s="2" t="n">
        <v>2.3</v>
      </c>
      <c r="Z333" s="2" t="n">
        <v>1</v>
      </c>
      <c r="AA333" s="2" t="n">
        <v>14.9</v>
      </c>
      <c r="AB333" s="2" t="n">
        <v>15</v>
      </c>
      <c r="AC333" s="2" t="n">
        <v>20</v>
      </c>
      <c r="AD333" s="2" t="n">
        <v>1</v>
      </c>
      <c r="AE333" s="2" t="n">
        <v>3</v>
      </c>
      <c r="AF333" s="2" t="n">
        <v>12.3</v>
      </c>
      <c r="AG333" s="2" t="n">
        <v>67.4</v>
      </c>
      <c r="AH333" s="2" t="n">
        <v>0</v>
      </c>
      <c r="AI333" s="2" t="n">
        <v>50</v>
      </c>
      <c r="AJ333" s="2" t="n">
        <v>0.5</v>
      </c>
      <c r="AK333" s="2" t="n">
        <v>33.3</v>
      </c>
      <c r="AL333" s="2" t="n">
        <v>1</v>
      </c>
      <c r="AM333" s="2" t="n">
        <v>0.9</v>
      </c>
      <c r="AN333" s="2" t="n">
        <v>1</v>
      </c>
      <c r="AO333" s="2" t="n">
        <v>0.5</v>
      </c>
      <c r="AP333" s="2" t="n">
        <v>0.1</v>
      </c>
      <c r="AQ333" s="2" t="n">
        <v>0.4</v>
      </c>
      <c r="AR333" s="2"/>
      <c r="AS333" s="2" t="n">
        <v>1.5</v>
      </c>
      <c r="AT333" s="2" t="n">
        <v>0.5</v>
      </c>
      <c r="AU333" s="2" t="n">
        <v>0.7</v>
      </c>
      <c r="AV333" s="2" t="n">
        <v>1</v>
      </c>
      <c r="AW333" s="2" t="n">
        <v>3</v>
      </c>
      <c r="AX333" s="2"/>
      <c r="AY333" s="2"/>
      <c r="AZ333" s="2"/>
      <c r="BA333" s="2"/>
      <c r="BB333" s="2"/>
      <c r="BC333" s="2"/>
      <c r="BD333" s="4" t="s">
        <v>1249</v>
      </c>
    </row>
    <row r="334" customFormat="false" ht="15" hidden="false" customHeight="false" outlineLevel="0" collapsed="false">
      <c r="A334" s="2" t="n">
        <v>1623834</v>
      </c>
      <c r="B334" s="2" t="s">
        <v>1250</v>
      </c>
      <c r="C334" s="2" t="s">
        <v>1172</v>
      </c>
      <c r="D334" s="2" t="s">
        <v>58</v>
      </c>
      <c r="E334" s="2" t="s">
        <v>59</v>
      </c>
      <c r="F334" s="2" t="s">
        <v>137</v>
      </c>
      <c r="G334" s="2" t="s">
        <v>133</v>
      </c>
      <c r="H334" s="2" t="s">
        <v>1251</v>
      </c>
      <c r="I334" s="2" t="n">
        <v>27</v>
      </c>
      <c r="J334" s="2" t="n">
        <v>24</v>
      </c>
      <c r="K334" s="2" t="s">
        <v>1252</v>
      </c>
      <c r="L334" s="2" t="s">
        <v>67</v>
      </c>
      <c r="M334" s="2" t="n">
        <v>175</v>
      </c>
      <c r="N334" s="3" t="n">
        <v>97377</v>
      </c>
      <c r="O334" s="2"/>
      <c r="P334" s="2" t="n">
        <v>22</v>
      </c>
      <c r="Q334" s="3" t="n">
        <v>1014</v>
      </c>
      <c r="R334" s="2" t="n">
        <v>6.87</v>
      </c>
      <c r="S334" s="2" t="n">
        <v>0</v>
      </c>
      <c r="T334" s="2" t="n">
        <v>1</v>
      </c>
      <c r="U334" s="2" t="n">
        <v>0</v>
      </c>
      <c r="V334" s="2" t="n">
        <v>1</v>
      </c>
      <c r="W334" s="2"/>
      <c r="X334" s="2" t="n">
        <v>0.09</v>
      </c>
      <c r="Y334" s="2" t="n">
        <v>1.7</v>
      </c>
      <c r="Z334" s="2" t="n">
        <v>0.4</v>
      </c>
      <c r="AA334" s="2" t="n">
        <v>5.3</v>
      </c>
      <c r="AB334" s="2"/>
      <c r="AC334" s="2" t="n">
        <v>18</v>
      </c>
      <c r="AD334" s="2" t="n">
        <v>1.6</v>
      </c>
      <c r="AE334" s="2" t="n">
        <v>3</v>
      </c>
      <c r="AF334" s="2" t="n">
        <v>27.9</v>
      </c>
      <c r="AG334" s="2" t="n">
        <v>82.2</v>
      </c>
      <c r="AH334" s="2" t="n">
        <v>1.2</v>
      </c>
      <c r="AI334" s="2" t="n">
        <v>48.3</v>
      </c>
      <c r="AJ334" s="2" t="n">
        <v>0.4</v>
      </c>
      <c r="AK334" s="2" t="n">
        <v>44.4</v>
      </c>
      <c r="AL334" s="2"/>
      <c r="AM334" s="2"/>
      <c r="AN334" s="2" t="n">
        <v>3.8</v>
      </c>
      <c r="AO334" s="2" t="n">
        <v>1.8</v>
      </c>
      <c r="AP334" s="2" t="n">
        <v>1.2</v>
      </c>
      <c r="AQ334" s="2" t="n">
        <v>0.9</v>
      </c>
      <c r="AR334" s="2"/>
      <c r="AS334" s="2" t="n">
        <v>5.6</v>
      </c>
      <c r="AT334" s="2" t="n">
        <v>1.1</v>
      </c>
      <c r="AU334" s="2" t="n">
        <v>3.4</v>
      </c>
      <c r="AV334" s="2" t="n">
        <v>2</v>
      </c>
      <c r="AW334" s="2" t="n">
        <v>4</v>
      </c>
      <c r="AX334" s="2"/>
      <c r="AY334" s="2"/>
      <c r="AZ334" s="2"/>
      <c r="BA334" s="2"/>
      <c r="BB334" s="2"/>
      <c r="BC334" s="2"/>
      <c r="BD334" s="4" t="s">
        <v>1253</v>
      </c>
    </row>
    <row r="335" customFormat="false" ht="15" hidden="false" customHeight="false" outlineLevel="0" collapsed="false">
      <c r="A335" s="2" t="n">
        <v>973779</v>
      </c>
      <c r="B335" s="2" t="s">
        <v>1254</v>
      </c>
      <c r="C335" s="2" t="s">
        <v>1172</v>
      </c>
      <c r="D335" s="2" t="s">
        <v>58</v>
      </c>
      <c r="E335" s="2" t="s">
        <v>59</v>
      </c>
      <c r="F335" s="2" t="s">
        <v>137</v>
      </c>
      <c r="G335" s="2" t="s">
        <v>133</v>
      </c>
      <c r="H335" s="2" t="s">
        <v>510</v>
      </c>
      <c r="I335" s="2" t="n">
        <v>47</v>
      </c>
      <c r="J335" s="2" t="n">
        <v>29</v>
      </c>
      <c r="K335" s="2" t="s">
        <v>1255</v>
      </c>
      <c r="L335" s="2" t="s">
        <v>67</v>
      </c>
      <c r="M335" s="2" t="n">
        <v>163</v>
      </c>
      <c r="N335" s="3" t="n">
        <v>96115</v>
      </c>
      <c r="O335" s="2"/>
      <c r="P335" s="2" t="n">
        <v>18</v>
      </c>
      <c r="Q335" s="3" t="n">
        <v>900</v>
      </c>
      <c r="R335" s="2" t="n">
        <v>6.96</v>
      </c>
      <c r="S335" s="2" t="n">
        <v>0</v>
      </c>
      <c r="T335" s="2" t="n">
        <v>3</v>
      </c>
      <c r="U335" s="2" t="n">
        <v>0</v>
      </c>
      <c r="V335" s="2"/>
      <c r="W335" s="2"/>
      <c r="X335" s="2" t="n">
        <v>0.3</v>
      </c>
      <c r="Y335" s="2" t="n">
        <v>1.6</v>
      </c>
      <c r="Z335" s="2" t="n">
        <v>0.9</v>
      </c>
      <c r="AA335" s="2" t="n">
        <v>18.8</v>
      </c>
      <c r="AB335" s="2"/>
      <c r="AC335" s="2" t="n">
        <v>17</v>
      </c>
      <c r="AD335" s="2" t="n">
        <v>1.7</v>
      </c>
      <c r="AE335" s="2"/>
      <c r="AF335" s="2" t="n">
        <v>25.2</v>
      </c>
      <c r="AG335" s="2" t="n">
        <v>82.1</v>
      </c>
      <c r="AH335" s="2" t="n">
        <v>1.1</v>
      </c>
      <c r="AI335" s="2" t="n">
        <v>64.7</v>
      </c>
      <c r="AJ335" s="2" t="n">
        <v>1.1</v>
      </c>
      <c r="AK335" s="2" t="n">
        <v>47.8</v>
      </c>
      <c r="AL335" s="2"/>
      <c r="AM335" s="2"/>
      <c r="AN335" s="2" t="n">
        <v>1.4</v>
      </c>
      <c r="AO335" s="2" t="n">
        <v>0.9</v>
      </c>
      <c r="AP335" s="2" t="n">
        <v>0.2</v>
      </c>
      <c r="AQ335" s="2" t="n">
        <v>0.2</v>
      </c>
      <c r="AR335" s="2" t="n">
        <v>0.1</v>
      </c>
      <c r="AS335" s="2" t="n">
        <v>3.7</v>
      </c>
      <c r="AT335" s="2" t="n">
        <v>0.6</v>
      </c>
      <c r="AU335" s="2" t="n">
        <v>1.9</v>
      </c>
      <c r="AV335" s="2" t="n">
        <v>0.9</v>
      </c>
      <c r="AW335" s="2"/>
      <c r="AX335" s="2"/>
      <c r="AY335" s="2"/>
      <c r="AZ335" s="2"/>
      <c r="BA335" s="2"/>
      <c r="BB335" s="2"/>
      <c r="BC335" s="2"/>
      <c r="BD335" s="4" t="s">
        <v>1256</v>
      </c>
    </row>
    <row r="336" customFormat="false" ht="15" hidden="false" customHeight="false" outlineLevel="0" collapsed="false">
      <c r="A336" s="2" t="n">
        <v>1448115</v>
      </c>
      <c r="B336" s="2" t="s">
        <v>1257</v>
      </c>
      <c r="C336" s="2" t="s">
        <v>1172</v>
      </c>
      <c r="D336" s="2" t="s">
        <v>58</v>
      </c>
      <c r="E336" s="2" t="s">
        <v>59</v>
      </c>
      <c r="F336" s="2" t="s">
        <v>137</v>
      </c>
      <c r="G336" s="2" t="s">
        <v>147</v>
      </c>
      <c r="H336" s="2" t="s">
        <v>147</v>
      </c>
      <c r="I336" s="2" t="n">
        <v>14</v>
      </c>
      <c r="J336" s="2" t="n">
        <v>26</v>
      </c>
      <c r="K336" s="2" t="s">
        <v>1258</v>
      </c>
      <c r="L336" s="2" t="s">
        <v>110</v>
      </c>
      <c r="M336" s="2" t="n">
        <v>193</v>
      </c>
      <c r="N336" s="3" t="n">
        <v>155928</v>
      </c>
      <c r="O336" s="2"/>
      <c r="P336" s="2" t="n">
        <v>24</v>
      </c>
      <c r="Q336" s="3" t="n">
        <v>761</v>
      </c>
      <c r="R336" s="2" t="n">
        <v>6.25</v>
      </c>
      <c r="S336" s="2" t="n">
        <v>0</v>
      </c>
      <c r="T336" s="2" t="n">
        <v>2</v>
      </c>
      <c r="U336" s="2" t="n">
        <v>0</v>
      </c>
      <c r="V336" s="2" t="n">
        <v>1</v>
      </c>
      <c r="W336" s="2"/>
      <c r="X336" s="2" t="n">
        <v>0.24</v>
      </c>
      <c r="Y336" s="2" t="n">
        <v>3.2</v>
      </c>
      <c r="Z336" s="2" t="n">
        <v>1.1</v>
      </c>
      <c r="AA336" s="2" t="n">
        <v>7.4</v>
      </c>
      <c r="AB336" s="2" t="n">
        <v>8</v>
      </c>
      <c r="AC336" s="2" t="n">
        <v>10</v>
      </c>
      <c r="AD336" s="2" t="n">
        <v>1.2</v>
      </c>
      <c r="AE336" s="2" t="n">
        <v>2</v>
      </c>
      <c r="AF336" s="2" t="n">
        <v>10.3</v>
      </c>
      <c r="AG336" s="2" t="n">
        <v>62.1</v>
      </c>
      <c r="AH336" s="2" t="n">
        <v>0.6</v>
      </c>
      <c r="AI336" s="2" t="n">
        <v>71.4</v>
      </c>
      <c r="AJ336" s="2" t="n">
        <v>0.6</v>
      </c>
      <c r="AK336" s="2" t="n">
        <v>22.7</v>
      </c>
      <c r="AL336" s="2"/>
      <c r="AM336" s="2"/>
      <c r="AN336" s="2" t="n">
        <v>1.1</v>
      </c>
      <c r="AO336" s="2" t="n">
        <v>0.4</v>
      </c>
      <c r="AP336" s="2"/>
      <c r="AQ336" s="2" t="n">
        <v>0.5</v>
      </c>
      <c r="AR336" s="2" t="n">
        <v>0.2</v>
      </c>
      <c r="AS336" s="2" t="n">
        <v>3</v>
      </c>
      <c r="AT336" s="2" t="n">
        <v>0.9</v>
      </c>
      <c r="AU336" s="2" t="n">
        <v>1.7</v>
      </c>
      <c r="AV336" s="2" t="n">
        <v>3.4</v>
      </c>
      <c r="AW336" s="2" t="n">
        <v>1</v>
      </c>
      <c r="AX336" s="2"/>
      <c r="AY336" s="2"/>
      <c r="AZ336" s="2"/>
      <c r="BA336" s="2"/>
      <c r="BB336" s="2"/>
      <c r="BC336" s="2"/>
      <c r="BD336" s="4" t="s">
        <v>1259</v>
      </c>
    </row>
    <row r="337" customFormat="false" ht="15" hidden="false" customHeight="false" outlineLevel="0" collapsed="false">
      <c r="A337" s="2" t="n">
        <v>1615750</v>
      </c>
      <c r="B337" s="2" t="s">
        <v>1260</v>
      </c>
      <c r="C337" s="2" t="s">
        <v>1172</v>
      </c>
      <c r="D337" s="2" t="s">
        <v>58</v>
      </c>
      <c r="E337" s="2" t="s">
        <v>59</v>
      </c>
      <c r="F337" s="2" t="s">
        <v>137</v>
      </c>
      <c r="G337" s="2" t="s">
        <v>133</v>
      </c>
      <c r="H337" s="2" t="s">
        <v>510</v>
      </c>
      <c r="I337" s="2" t="n">
        <v>21</v>
      </c>
      <c r="J337" s="2" t="n">
        <v>25</v>
      </c>
      <c r="K337" s="2" t="s">
        <v>1261</v>
      </c>
      <c r="L337" s="2" t="s">
        <v>243</v>
      </c>
      <c r="M337" s="2" t="n">
        <v>185</v>
      </c>
      <c r="N337" s="3" t="n">
        <v>166903</v>
      </c>
      <c r="O337" s="2"/>
      <c r="P337" s="2" t="n">
        <v>16</v>
      </c>
      <c r="Q337" s="3" t="n">
        <v>572</v>
      </c>
      <c r="R337" s="2"/>
      <c r="S337" s="2"/>
      <c r="T337" s="2" t="n">
        <v>1</v>
      </c>
      <c r="U337" s="2" t="n">
        <v>1</v>
      </c>
      <c r="V337" s="2" t="n">
        <v>5</v>
      </c>
      <c r="W337" s="2"/>
      <c r="X337" s="2" t="n">
        <v>0.16</v>
      </c>
      <c r="Y337" s="2" t="n">
        <v>3.6</v>
      </c>
      <c r="Z337" s="2" t="n">
        <v>1.1</v>
      </c>
      <c r="AA337" s="2" t="n">
        <v>4.4</v>
      </c>
      <c r="AB337" s="2" t="n">
        <v>2</v>
      </c>
      <c r="AC337" s="2" t="n">
        <v>13</v>
      </c>
      <c r="AD337" s="2" t="n">
        <v>2</v>
      </c>
      <c r="AE337" s="2" t="n">
        <v>4</v>
      </c>
      <c r="AF337" s="2" t="n">
        <v>20.6</v>
      </c>
      <c r="AG337" s="2" t="n">
        <v>76.2</v>
      </c>
      <c r="AH337" s="2" t="n">
        <v>1.3</v>
      </c>
      <c r="AI337" s="2" t="n">
        <v>66.7</v>
      </c>
      <c r="AJ337" s="2" t="n">
        <v>0.6</v>
      </c>
      <c r="AK337" s="2" t="n">
        <v>66.7</v>
      </c>
      <c r="AL337" s="2"/>
      <c r="AM337" s="2"/>
      <c r="AN337" s="2" t="n">
        <v>2.7</v>
      </c>
      <c r="AO337" s="2" t="n">
        <v>0.9</v>
      </c>
      <c r="AP337" s="2" t="n">
        <v>0.6</v>
      </c>
      <c r="AQ337" s="2" t="n">
        <v>0.6</v>
      </c>
      <c r="AR337" s="2" t="n">
        <v>0.5</v>
      </c>
      <c r="AS337" s="2" t="n">
        <v>3.1</v>
      </c>
      <c r="AT337" s="2" t="n">
        <v>0.2</v>
      </c>
      <c r="AU337" s="2" t="n">
        <v>1.9</v>
      </c>
      <c r="AV337" s="2" t="n">
        <v>3.6</v>
      </c>
      <c r="AW337" s="2" t="n">
        <v>2</v>
      </c>
      <c r="AX337" s="2"/>
      <c r="AY337" s="2"/>
      <c r="AZ337" s="2"/>
      <c r="BA337" s="2"/>
      <c r="BB337" s="2"/>
      <c r="BC337" s="2"/>
      <c r="BD337" s="4" t="s">
        <v>1262</v>
      </c>
    </row>
    <row r="338" customFormat="false" ht="15" hidden="false" customHeight="false" outlineLevel="0" collapsed="false">
      <c r="A338" s="2" t="n">
        <v>2110953</v>
      </c>
      <c r="B338" s="2" t="s">
        <v>1263</v>
      </c>
      <c r="C338" s="2" t="s">
        <v>1172</v>
      </c>
      <c r="D338" s="2" t="s">
        <v>58</v>
      </c>
      <c r="E338" s="2" t="s">
        <v>59</v>
      </c>
      <c r="F338" s="2" t="s">
        <v>137</v>
      </c>
      <c r="G338" s="2"/>
      <c r="H338" s="2"/>
      <c r="I338" s="2" t="n">
        <v>99</v>
      </c>
      <c r="J338" s="2" t="n">
        <v>19</v>
      </c>
      <c r="K338" s="2" t="s">
        <v>1264</v>
      </c>
      <c r="L338" s="2" t="s">
        <v>67</v>
      </c>
      <c r="M338" s="2" t="n">
        <v>193</v>
      </c>
      <c r="N338" s="3"/>
      <c r="O338" s="2"/>
      <c r="P338" s="2"/>
      <c r="Q338" s="3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4" t="s">
        <v>1265</v>
      </c>
    </row>
    <row r="339" customFormat="false" ht="15" hidden="false" customHeight="false" outlineLevel="0" collapsed="false">
      <c r="A339" s="2" t="n">
        <v>150242</v>
      </c>
      <c r="B339" s="2" t="s">
        <v>1266</v>
      </c>
      <c r="C339" s="2" t="s">
        <v>1267</v>
      </c>
      <c r="D339" s="2" t="s">
        <v>58</v>
      </c>
      <c r="E339" s="2" t="s">
        <v>59</v>
      </c>
      <c r="F339" s="2" t="s">
        <v>60</v>
      </c>
      <c r="G339" s="2" t="s">
        <v>61</v>
      </c>
      <c r="H339" s="2" t="s">
        <v>61</v>
      </c>
      <c r="I339" s="2" t="n">
        <v>1</v>
      </c>
      <c r="J339" s="2" t="n">
        <v>37</v>
      </c>
      <c r="K339" s="2" t="s">
        <v>1268</v>
      </c>
      <c r="L339" s="2" t="s">
        <v>1269</v>
      </c>
      <c r="M339" s="2" t="n">
        <v>190</v>
      </c>
      <c r="N339" s="3" t="n">
        <v>50000</v>
      </c>
      <c r="O339" s="2"/>
      <c r="P339" s="2" t="n">
        <v>20</v>
      </c>
      <c r="Q339" s="3" t="n">
        <v>1800</v>
      </c>
      <c r="R339" s="2" t="n">
        <v>6.71</v>
      </c>
      <c r="S339" s="2" t="n">
        <v>2</v>
      </c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 t="n">
        <v>17.8</v>
      </c>
      <c r="AG339" s="2" t="n">
        <v>69.3</v>
      </c>
      <c r="AH339" s="2"/>
      <c r="AI339" s="2"/>
      <c r="AJ339" s="2"/>
      <c r="AK339" s="2"/>
      <c r="AL339" s="2"/>
      <c r="AM339" s="2"/>
      <c r="AN339" s="2" t="n">
        <v>1</v>
      </c>
      <c r="AO339" s="2" t="n">
        <v>0.1</v>
      </c>
      <c r="AP339" s="2"/>
      <c r="AQ339" s="2" t="n">
        <v>1</v>
      </c>
      <c r="AR339" s="2"/>
      <c r="AS339" s="2" t="n">
        <v>8.4</v>
      </c>
      <c r="AT339" s="2"/>
      <c r="AU339" s="2"/>
      <c r="AV339" s="2" t="n">
        <v>0.1</v>
      </c>
      <c r="AW339" s="2" t="n">
        <v>5</v>
      </c>
      <c r="AX339" s="2"/>
      <c r="AY339" s="2" t="n">
        <v>1</v>
      </c>
      <c r="AZ339" s="2" t="n">
        <v>5</v>
      </c>
      <c r="BA339" s="2" t="n">
        <v>2.9</v>
      </c>
      <c r="BB339" s="2" t="n">
        <v>62.6</v>
      </c>
      <c r="BC339" s="2" t="n">
        <v>1.7</v>
      </c>
      <c r="BD339" s="4" t="s">
        <v>1270</v>
      </c>
    </row>
    <row r="340" customFormat="false" ht="15" hidden="false" customHeight="false" outlineLevel="0" collapsed="false">
      <c r="A340" s="2" t="n">
        <v>1640878</v>
      </c>
      <c r="B340" s="2" t="s">
        <v>1271</v>
      </c>
      <c r="C340" s="2" t="s">
        <v>1267</v>
      </c>
      <c r="D340" s="2" t="s">
        <v>58</v>
      </c>
      <c r="E340" s="2" t="s">
        <v>59</v>
      </c>
      <c r="F340" s="2" t="s">
        <v>60</v>
      </c>
      <c r="G340" s="2" t="s">
        <v>61</v>
      </c>
      <c r="H340" s="2" t="s">
        <v>61</v>
      </c>
      <c r="I340" s="2" t="n">
        <v>31</v>
      </c>
      <c r="J340" s="2" t="n">
        <v>22</v>
      </c>
      <c r="K340" s="2" t="s">
        <v>1272</v>
      </c>
      <c r="L340" s="2" t="s">
        <v>144</v>
      </c>
      <c r="M340" s="2" t="n">
        <v>185</v>
      </c>
      <c r="N340" s="3"/>
      <c r="O340" s="2"/>
      <c r="P340" s="2" t="n">
        <v>6</v>
      </c>
      <c r="Q340" s="3" t="n">
        <v>540</v>
      </c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 t="n">
        <v>1</v>
      </c>
      <c r="AD340" s="2" t="n">
        <v>0.2</v>
      </c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 t="n">
        <v>1</v>
      </c>
      <c r="AX340" s="2"/>
      <c r="AY340" s="2"/>
      <c r="AZ340" s="2" t="n">
        <v>2</v>
      </c>
      <c r="BA340" s="2"/>
      <c r="BB340" s="2"/>
      <c r="BC340" s="2"/>
      <c r="BD340" s="4" t="s">
        <v>1273</v>
      </c>
    </row>
    <row r="341" customFormat="false" ht="15" hidden="false" customHeight="false" outlineLevel="0" collapsed="false">
      <c r="A341" s="2" t="n">
        <v>2084621</v>
      </c>
      <c r="B341" s="2" t="s">
        <v>1274</v>
      </c>
      <c r="C341" s="2" t="s">
        <v>1267</v>
      </c>
      <c r="D341" s="2" t="s">
        <v>58</v>
      </c>
      <c r="E341" s="2" t="s">
        <v>59</v>
      </c>
      <c r="F341" s="2" t="s">
        <v>60</v>
      </c>
      <c r="G341" s="2"/>
      <c r="H341" s="2"/>
      <c r="I341" s="2" t="n">
        <v>25</v>
      </c>
      <c r="J341" s="2" t="n">
        <v>34</v>
      </c>
      <c r="K341" s="2" t="s">
        <v>1275</v>
      </c>
      <c r="L341" s="2" t="s">
        <v>808</v>
      </c>
      <c r="M341" s="2" t="n">
        <v>182</v>
      </c>
      <c r="N341" s="3"/>
      <c r="O341" s="2"/>
      <c r="P341" s="2"/>
      <c r="Q341" s="3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4" t="s">
        <v>1276</v>
      </c>
    </row>
    <row r="342" customFormat="false" ht="15" hidden="false" customHeight="false" outlineLevel="0" collapsed="false">
      <c r="A342" s="2" t="n">
        <v>2030061</v>
      </c>
      <c r="B342" s="2" t="s">
        <v>1277</v>
      </c>
      <c r="C342" s="2" t="s">
        <v>1267</v>
      </c>
      <c r="D342" s="2" t="s">
        <v>58</v>
      </c>
      <c r="E342" s="2" t="s">
        <v>59</v>
      </c>
      <c r="F342" s="2" t="s">
        <v>60</v>
      </c>
      <c r="G342" s="2"/>
      <c r="H342" s="2"/>
      <c r="I342" s="2" t="n">
        <v>41</v>
      </c>
      <c r="J342" s="2" t="n">
        <v>21</v>
      </c>
      <c r="K342" s="2" t="s">
        <v>1278</v>
      </c>
      <c r="L342" s="2" t="s">
        <v>67</v>
      </c>
      <c r="M342" s="2" t="n">
        <v>193</v>
      </c>
      <c r="N342" s="3"/>
      <c r="O342" s="2"/>
      <c r="P342" s="2"/>
      <c r="Q342" s="3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4" t="s">
        <v>1279</v>
      </c>
    </row>
    <row r="343" customFormat="false" ht="15" hidden="false" customHeight="false" outlineLevel="0" collapsed="false">
      <c r="A343" s="2" t="n">
        <v>1923044</v>
      </c>
      <c r="B343" s="2" t="s">
        <v>1280</v>
      </c>
      <c r="C343" s="2" t="s">
        <v>1267</v>
      </c>
      <c r="D343" s="2" t="s">
        <v>58</v>
      </c>
      <c r="E343" s="2" t="s">
        <v>59</v>
      </c>
      <c r="F343" s="2" t="s">
        <v>60</v>
      </c>
      <c r="G343" s="2"/>
      <c r="H343" s="2"/>
      <c r="I343" s="2" t="n">
        <v>43</v>
      </c>
      <c r="J343" s="2" t="n">
        <v>18</v>
      </c>
      <c r="K343" s="2" t="s">
        <v>1281</v>
      </c>
      <c r="L343" s="2" t="s">
        <v>95</v>
      </c>
      <c r="M343" s="2" t="n">
        <v>188</v>
      </c>
      <c r="N343" s="3"/>
      <c r="O343" s="2"/>
      <c r="P343" s="2"/>
      <c r="Q343" s="3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4" t="s">
        <v>1282</v>
      </c>
    </row>
    <row r="344" customFormat="false" ht="15" hidden="false" customHeight="false" outlineLevel="0" collapsed="false">
      <c r="A344" s="2" t="n">
        <v>1006668</v>
      </c>
      <c r="B344" s="2" t="s">
        <v>1283</v>
      </c>
      <c r="C344" s="2" t="s">
        <v>1267</v>
      </c>
      <c r="D344" s="2" t="s">
        <v>58</v>
      </c>
      <c r="E344" s="2" t="s">
        <v>59</v>
      </c>
      <c r="F344" s="2" t="s">
        <v>70</v>
      </c>
      <c r="G344" s="2" t="s">
        <v>71</v>
      </c>
      <c r="H344" s="2" t="s">
        <v>1284</v>
      </c>
      <c r="I344" s="2" t="n">
        <v>21</v>
      </c>
      <c r="J344" s="2" t="n">
        <v>26</v>
      </c>
      <c r="K344" s="2" t="s">
        <v>1285</v>
      </c>
      <c r="L344" s="2" t="s">
        <v>1286</v>
      </c>
      <c r="M344" s="2" t="n">
        <v>185</v>
      </c>
      <c r="N344" s="3" t="n">
        <v>75736</v>
      </c>
      <c r="O344" s="2"/>
      <c r="P344" s="2" t="n">
        <v>25</v>
      </c>
      <c r="Q344" s="3" t="n">
        <v>2184</v>
      </c>
      <c r="R344" s="2" t="n">
        <v>6.7</v>
      </c>
      <c r="S344" s="2" t="n">
        <v>0</v>
      </c>
      <c r="T344" s="2" t="n">
        <v>3</v>
      </c>
      <c r="U344" s="2" t="n">
        <v>0</v>
      </c>
      <c r="V344" s="2" t="n">
        <v>2</v>
      </c>
      <c r="W344" s="2"/>
      <c r="X344" s="2" t="n">
        <v>0.12</v>
      </c>
      <c r="Y344" s="2" t="n">
        <v>0.8</v>
      </c>
      <c r="Z344" s="2" t="n">
        <v>0.3</v>
      </c>
      <c r="AA344" s="2" t="n">
        <v>15</v>
      </c>
      <c r="AB344" s="2" t="n">
        <v>1</v>
      </c>
      <c r="AC344" s="2" t="n">
        <v>24</v>
      </c>
      <c r="AD344" s="2" t="n">
        <v>1</v>
      </c>
      <c r="AE344" s="2" t="n">
        <v>5</v>
      </c>
      <c r="AF344" s="2" t="n">
        <v>25.2</v>
      </c>
      <c r="AG344" s="2" t="n">
        <v>76.5</v>
      </c>
      <c r="AH344" s="2" t="n">
        <v>1.5</v>
      </c>
      <c r="AI344" s="2" t="n">
        <v>33.3</v>
      </c>
      <c r="AJ344" s="2" t="n">
        <v>0.5</v>
      </c>
      <c r="AK344" s="2" t="n">
        <v>38.2</v>
      </c>
      <c r="AL344" s="2"/>
      <c r="AM344" s="2"/>
      <c r="AN344" s="2" t="n">
        <v>4.6</v>
      </c>
      <c r="AO344" s="2" t="n">
        <v>1.4</v>
      </c>
      <c r="AP344" s="2" t="n">
        <v>0.7</v>
      </c>
      <c r="AQ344" s="2" t="n">
        <v>1.9</v>
      </c>
      <c r="AR344" s="2" t="n">
        <v>0.5</v>
      </c>
      <c r="AS344" s="2" t="n">
        <v>3.7</v>
      </c>
      <c r="AT344" s="2" t="n">
        <v>0.1</v>
      </c>
      <c r="AU344" s="2" t="n">
        <v>1.6</v>
      </c>
      <c r="AV344" s="2" t="n">
        <v>1.9</v>
      </c>
      <c r="AW344" s="2" t="n">
        <v>11</v>
      </c>
      <c r="AX344" s="2"/>
      <c r="AY344" s="2" t="n">
        <v>1</v>
      </c>
      <c r="AZ344" s="2"/>
      <c r="BA344" s="2"/>
      <c r="BB344" s="2"/>
      <c r="BC344" s="2"/>
      <c r="BD344" s="4" t="s">
        <v>1287</v>
      </c>
    </row>
    <row r="345" customFormat="false" ht="15" hidden="false" customHeight="false" outlineLevel="0" collapsed="false">
      <c r="A345" s="2" t="n">
        <v>1082131</v>
      </c>
      <c r="B345" s="2" t="s">
        <v>1288</v>
      </c>
      <c r="C345" s="2" t="s">
        <v>1267</v>
      </c>
      <c r="D345" s="2" t="s">
        <v>58</v>
      </c>
      <c r="E345" s="2" t="s">
        <v>59</v>
      </c>
      <c r="F345" s="2" t="s">
        <v>70</v>
      </c>
      <c r="G345" s="2" t="s">
        <v>75</v>
      </c>
      <c r="H345" s="2" t="s">
        <v>75</v>
      </c>
      <c r="I345" s="2" t="n">
        <v>13</v>
      </c>
      <c r="J345" s="2" t="n">
        <v>29</v>
      </c>
      <c r="K345" s="2" t="s">
        <v>1289</v>
      </c>
      <c r="L345" s="2" t="s">
        <v>67</v>
      </c>
      <c r="M345" s="2" t="n">
        <v>191</v>
      </c>
      <c r="N345" s="3" t="n">
        <v>50000</v>
      </c>
      <c r="O345" s="2"/>
      <c r="P345" s="2" t="n">
        <v>24</v>
      </c>
      <c r="Q345" s="3" t="n">
        <v>2146</v>
      </c>
      <c r="R345" s="2" t="n">
        <v>6.85</v>
      </c>
      <c r="S345" s="2" t="n">
        <v>0</v>
      </c>
      <c r="T345" s="2" t="n">
        <v>1</v>
      </c>
      <c r="U345" s="2" t="n">
        <v>0</v>
      </c>
      <c r="V345" s="2"/>
      <c r="W345" s="2"/>
      <c r="X345" s="2" t="n">
        <v>0.04</v>
      </c>
      <c r="Y345" s="2" t="n">
        <v>0.4</v>
      </c>
      <c r="Z345" s="2" t="n">
        <v>0</v>
      </c>
      <c r="AA345" s="2" t="n">
        <v>11.1</v>
      </c>
      <c r="AB345" s="2" t="n">
        <v>1</v>
      </c>
      <c r="AC345" s="2" t="n">
        <v>5</v>
      </c>
      <c r="AD345" s="2" t="n">
        <v>0.2</v>
      </c>
      <c r="AE345" s="2"/>
      <c r="AF345" s="2" t="n">
        <v>47.5</v>
      </c>
      <c r="AG345" s="2" t="n">
        <v>85.2</v>
      </c>
      <c r="AH345" s="2" t="n">
        <v>5.4</v>
      </c>
      <c r="AI345" s="2" t="n">
        <v>51.8</v>
      </c>
      <c r="AJ345" s="2" t="n">
        <v>0</v>
      </c>
      <c r="AK345" s="2" t="n">
        <v>33.3</v>
      </c>
      <c r="AL345" s="2"/>
      <c r="AM345" s="2"/>
      <c r="AN345" s="2" t="n">
        <v>10.3</v>
      </c>
      <c r="AO345" s="2" t="n">
        <v>1.2</v>
      </c>
      <c r="AP345" s="2" t="n">
        <v>1.1</v>
      </c>
      <c r="AQ345" s="2" t="n">
        <v>7</v>
      </c>
      <c r="AR345" s="2" t="n">
        <v>1</v>
      </c>
      <c r="AS345" s="2" t="n">
        <v>3.2</v>
      </c>
      <c r="AT345" s="2"/>
      <c r="AU345" s="2"/>
      <c r="AV345" s="2" t="n">
        <v>0.8</v>
      </c>
      <c r="AW345" s="2" t="n">
        <v>6</v>
      </c>
      <c r="AX345" s="2"/>
      <c r="AY345" s="2"/>
      <c r="AZ345" s="2"/>
      <c r="BA345" s="2"/>
      <c r="BB345" s="2"/>
      <c r="BC345" s="2"/>
      <c r="BD345" s="4" t="s">
        <v>1290</v>
      </c>
    </row>
    <row r="346" customFormat="false" ht="15" hidden="false" customHeight="false" outlineLevel="0" collapsed="false">
      <c r="A346" s="2" t="n">
        <v>1455128</v>
      </c>
      <c r="B346" s="2" t="s">
        <v>1291</v>
      </c>
      <c r="C346" s="2" t="s">
        <v>1267</v>
      </c>
      <c r="D346" s="2" t="s">
        <v>58</v>
      </c>
      <c r="E346" s="2" t="s">
        <v>59</v>
      </c>
      <c r="F346" s="2" t="s">
        <v>70</v>
      </c>
      <c r="G346" s="2" t="s">
        <v>75</v>
      </c>
      <c r="H346" s="2" t="s">
        <v>75</v>
      </c>
      <c r="I346" s="2" t="n">
        <v>4</v>
      </c>
      <c r="J346" s="2" t="n">
        <v>27</v>
      </c>
      <c r="K346" s="2" t="s">
        <v>1292</v>
      </c>
      <c r="L346" s="2" t="s">
        <v>67</v>
      </c>
      <c r="M346" s="2" t="n">
        <v>188</v>
      </c>
      <c r="N346" s="3" t="n">
        <v>50000</v>
      </c>
      <c r="O346" s="2"/>
      <c r="P346" s="2" t="n">
        <v>24</v>
      </c>
      <c r="Q346" s="3" t="n">
        <v>1957</v>
      </c>
      <c r="R346" s="2" t="n">
        <v>6.28</v>
      </c>
      <c r="S346" s="2" t="n">
        <v>0</v>
      </c>
      <c r="T346" s="2"/>
      <c r="U346" s="2"/>
      <c r="V346" s="2"/>
      <c r="W346" s="2"/>
      <c r="X346" s="2"/>
      <c r="Y346" s="2" t="n">
        <v>0.3</v>
      </c>
      <c r="Z346" s="2" t="n">
        <v>0</v>
      </c>
      <c r="AA346" s="2" t="n">
        <v>0</v>
      </c>
      <c r="AB346" s="2"/>
      <c r="AC346" s="2"/>
      <c r="AD346" s="2"/>
      <c r="AE346" s="2"/>
      <c r="AF346" s="2" t="n">
        <v>34.9</v>
      </c>
      <c r="AG346" s="2" t="n">
        <v>87</v>
      </c>
      <c r="AH346" s="2" t="n">
        <v>2.4</v>
      </c>
      <c r="AI346" s="2" t="n">
        <v>42.1</v>
      </c>
      <c r="AJ346" s="2" t="n">
        <v>0</v>
      </c>
      <c r="AK346" s="2" t="n">
        <v>100</v>
      </c>
      <c r="AL346" s="2"/>
      <c r="AM346" s="2"/>
      <c r="AN346" s="2" t="n">
        <v>7.2</v>
      </c>
      <c r="AO346" s="2" t="n">
        <v>1</v>
      </c>
      <c r="AP346" s="2" t="n">
        <v>0.2</v>
      </c>
      <c r="AQ346" s="2" t="n">
        <v>5.2</v>
      </c>
      <c r="AR346" s="2" t="n">
        <v>0.9</v>
      </c>
      <c r="AS346" s="2" t="n">
        <v>2.2</v>
      </c>
      <c r="AT346" s="2" t="n">
        <v>0</v>
      </c>
      <c r="AU346" s="2" t="n">
        <v>0.7</v>
      </c>
      <c r="AV346" s="2" t="n">
        <v>1.3</v>
      </c>
      <c r="AW346" s="2" t="n">
        <v>5</v>
      </c>
      <c r="AX346" s="2"/>
      <c r="AY346" s="2"/>
      <c r="AZ346" s="2"/>
      <c r="BA346" s="2"/>
      <c r="BB346" s="2"/>
      <c r="BC346" s="2"/>
      <c r="BD346" s="4" t="s">
        <v>1293</v>
      </c>
    </row>
    <row r="347" customFormat="false" ht="15" hidden="false" customHeight="false" outlineLevel="0" collapsed="false">
      <c r="A347" s="2" t="n">
        <v>1666352</v>
      </c>
      <c r="B347" s="2" t="s">
        <v>1294</v>
      </c>
      <c r="C347" s="2" t="s">
        <v>1267</v>
      </c>
      <c r="D347" s="2" t="s">
        <v>58</v>
      </c>
      <c r="E347" s="2" t="s">
        <v>59</v>
      </c>
      <c r="F347" s="2" t="s">
        <v>70</v>
      </c>
      <c r="G347" s="2" t="s">
        <v>92</v>
      </c>
      <c r="H347" s="2" t="s">
        <v>1295</v>
      </c>
      <c r="I347" s="2" t="n">
        <v>12</v>
      </c>
      <c r="J347" s="2" t="n">
        <v>27</v>
      </c>
      <c r="K347" s="2" t="s">
        <v>1296</v>
      </c>
      <c r="L347" s="2" t="s">
        <v>89</v>
      </c>
      <c r="M347" s="2" t="n">
        <v>191</v>
      </c>
      <c r="N347" s="3" t="n">
        <v>60889</v>
      </c>
      <c r="O347" s="2"/>
      <c r="P347" s="2" t="n">
        <v>25</v>
      </c>
      <c r="Q347" s="3" t="n">
        <v>1796</v>
      </c>
      <c r="R347" s="2" t="n">
        <v>6.64</v>
      </c>
      <c r="S347" s="2" t="n">
        <v>0</v>
      </c>
      <c r="T347" s="2"/>
      <c r="U347" s="2"/>
      <c r="V347" s="2"/>
      <c r="W347" s="2"/>
      <c r="X347" s="2"/>
      <c r="Y347" s="2" t="n">
        <v>0.2</v>
      </c>
      <c r="Z347" s="2" t="n">
        <v>0.1</v>
      </c>
      <c r="AA347" s="2" t="n">
        <v>0</v>
      </c>
      <c r="AB347" s="2" t="n">
        <v>1</v>
      </c>
      <c r="AC347" s="2" t="n">
        <v>7</v>
      </c>
      <c r="AD347" s="2" t="n">
        <v>0.4</v>
      </c>
      <c r="AE347" s="2"/>
      <c r="AF347" s="2" t="n">
        <v>37.5</v>
      </c>
      <c r="AG347" s="2" t="n">
        <v>83.7</v>
      </c>
      <c r="AH347" s="2" t="n">
        <v>2</v>
      </c>
      <c r="AI347" s="2" t="n">
        <v>39.8</v>
      </c>
      <c r="AJ347" s="2" t="n">
        <v>0.4</v>
      </c>
      <c r="AK347" s="2" t="n">
        <v>58.3</v>
      </c>
      <c r="AL347" s="2"/>
      <c r="AM347" s="2"/>
      <c r="AN347" s="2" t="n">
        <v>6.7</v>
      </c>
      <c r="AO347" s="2" t="n">
        <v>2</v>
      </c>
      <c r="AP347" s="2" t="n">
        <v>0.9</v>
      </c>
      <c r="AQ347" s="2" t="n">
        <v>3.1</v>
      </c>
      <c r="AR347" s="2" t="n">
        <v>0.8</v>
      </c>
      <c r="AS347" s="2" t="n">
        <v>3.7</v>
      </c>
      <c r="AT347" s="2" t="n">
        <v>0.2</v>
      </c>
      <c r="AU347" s="2" t="n">
        <v>1.6</v>
      </c>
      <c r="AV347" s="2" t="n">
        <v>2</v>
      </c>
      <c r="AW347" s="2" t="n">
        <v>7</v>
      </c>
      <c r="AX347" s="2"/>
      <c r="AY347" s="2"/>
      <c r="AZ347" s="2"/>
      <c r="BA347" s="2"/>
      <c r="BB347" s="2"/>
      <c r="BC347" s="2"/>
      <c r="BD347" s="4" t="s">
        <v>1297</v>
      </c>
    </row>
    <row r="348" customFormat="false" ht="15" hidden="false" customHeight="false" outlineLevel="0" collapsed="false">
      <c r="A348" s="2" t="n">
        <v>1170994</v>
      </c>
      <c r="B348" s="2" t="s">
        <v>1298</v>
      </c>
      <c r="C348" s="2" t="s">
        <v>1267</v>
      </c>
      <c r="D348" s="2" t="s">
        <v>58</v>
      </c>
      <c r="E348" s="2" t="s">
        <v>59</v>
      </c>
      <c r="F348" s="2" t="s">
        <v>70</v>
      </c>
      <c r="G348" s="2" t="s">
        <v>75</v>
      </c>
      <c r="H348" s="2" t="s">
        <v>352</v>
      </c>
      <c r="I348" s="2" t="n">
        <v>14</v>
      </c>
      <c r="J348" s="2" t="n">
        <v>30</v>
      </c>
      <c r="K348" s="2" t="s">
        <v>1299</v>
      </c>
      <c r="L348" s="2" t="s">
        <v>110</v>
      </c>
      <c r="M348" s="2" t="n">
        <v>183</v>
      </c>
      <c r="N348" s="3" t="n">
        <v>50000</v>
      </c>
      <c r="O348" s="2"/>
      <c r="P348" s="2" t="n">
        <v>9</v>
      </c>
      <c r="Q348" s="3" t="n">
        <v>468</v>
      </c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 t="n">
        <v>1</v>
      </c>
      <c r="AD348" s="2" t="n">
        <v>0.2</v>
      </c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 t="n">
        <v>1</v>
      </c>
      <c r="AZ348" s="2"/>
      <c r="BA348" s="2"/>
      <c r="BB348" s="2"/>
      <c r="BC348" s="2"/>
      <c r="BD348" s="4" t="s">
        <v>1300</v>
      </c>
    </row>
    <row r="349" customFormat="false" ht="15" hidden="false" customHeight="false" outlineLevel="0" collapsed="false">
      <c r="A349" s="2" t="n">
        <v>1081944</v>
      </c>
      <c r="B349" s="2" t="s">
        <v>1301</v>
      </c>
      <c r="C349" s="2" t="s">
        <v>1267</v>
      </c>
      <c r="D349" s="2" t="s">
        <v>58</v>
      </c>
      <c r="E349" s="2" t="s">
        <v>59</v>
      </c>
      <c r="F349" s="2" t="s">
        <v>70</v>
      </c>
      <c r="G349" s="2" t="s">
        <v>75</v>
      </c>
      <c r="H349" s="2" t="s">
        <v>352</v>
      </c>
      <c r="I349" s="2" t="n">
        <v>6</v>
      </c>
      <c r="J349" s="2" t="n">
        <v>29</v>
      </c>
      <c r="K349" s="2" t="s">
        <v>495</v>
      </c>
      <c r="L349" s="2" t="s">
        <v>905</v>
      </c>
      <c r="M349" s="2" t="n">
        <v>188</v>
      </c>
      <c r="N349" s="3" t="n">
        <v>50000</v>
      </c>
      <c r="O349" s="2"/>
      <c r="P349" s="2" t="n">
        <v>13</v>
      </c>
      <c r="Q349" s="3" t="n">
        <v>280</v>
      </c>
      <c r="R349" s="2"/>
      <c r="S349" s="2"/>
      <c r="T349" s="2"/>
      <c r="U349" s="2"/>
      <c r="V349" s="2"/>
      <c r="W349" s="2"/>
      <c r="X349" s="2"/>
      <c r="Y349" s="2" t="n">
        <v>1</v>
      </c>
      <c r="Z349" s="2"/>
      <c r="AA349" s="2" t="n">
        <v>0</v>
      </c>
      <c r="AB349" s="2" t="n">
        <v>1</v>
      </c>
      <c r="AC349" s="2" t="n">
        <v>1</v>
      </c>
      <c r="AD349" s="2" t="n">
        <v>0.3</v>
      </c>
      <c r="AE349" s="2"/>
      <c r="AF349" s="2" t="n">
        <v>29.3</v>
      </c>
      <c r="AG349" s="2" t="n">
        <v>75.8</v>
      </c>
      <c r="AH349" s="2" t="n">
        <v>1.3</v>
      </c>
      <c r="AI349" s="2" t="n">
        <v>25</v>
      </c>
      <c r="AJ349" s="2" t="n">
        <v>0.3</v>
      </c>
      <c r="AK349" s="2" t="n">
        <v>100</v>
      </c>
      <c r="AL349" s="2"/>
      <c r="AM349" s="2"/>
      <c r="AN349" s="2" t="n">
        <v>8.4</v>
      </c>
      <c r="AO349" s="2" t="n">
        <v>0.6</v>
      </c>
      <c r="AP349" s="2" t="n">
        <v>0.3</v>
      </c>
      <c r="AQ349" s="2" t="n">
        <v>5.8</v>
      </c>
      <c r="AR349" s="2" t="n">
        <v>1.6</v>
      </c>
      <c r="AS349" s="2" t="n">
        <v>3.9</v>
      </c>
      <c r="AT349" s="2"/>
      <c r="AU349" s="2"/>
      <c r="AV349" s="2" t="n">
        <v>1.6</v>
      </c>
      <c r="AW349" s="2" t="n">
        <v>2</v>
      </c>
      <c r="AX349" s="2"/>
      <c r="AY349" s="2"/>
      <c r="AZ349" s="2"/>
      <c r="BA349" s="2"/>
      <c r="BB349" s="2"/>
      <c r="BC349" s="2"/>
      <c r="BD349" s="4" t="s">
        <v>1302</v>
      </c>
    </row>
    <row r="350" customFormat="false" ht="15" hidden="false" customHeight="false" outlineLevel="0" collapsed="false">
      <c r="A350" s="2" t="n">
        <v>1431293</v>
      </c>
      <c r="B350" s="2" t="s">
        <v>1303</v>
      </c>
      <c r="C350" s="2" t="s">
        <v>1267</v>
      </c>
      <c r="D350" s="2" t="s">
        <v>58</v>
      </c>
      <c r="E350" s="2" t="s">
        <v>59</v>
      </c>
      <c r="F350" s="2" t="s">
        <v>70</v>
      </c>
      <c r="G350" s="2" t="s">
        <v>75</v>
      </c>
      <c r="H350" s="2" t="s">
        <v>352</v>
      </c>
      <c r="I350" s="2" t="n">
        <v>2</v>
      </c>
      <c r="J350" s="2" t="n">
        <v>26</v>
      </c>
      <c r="K350" s="2" t="s">
        <v>1304</v>
      </c>
      <c r="L350" s="2" t="s">
        <v>1305</v>
      </c>
      <c r="M350" s="2" t="n">
        <v>188</v>
      </c>
      <c r="N350" s="3" t="n">
        <v>178128</v>
      </c>
      <c r="O350" s="2"/>
      <c r="P350" s="2" t="n">
        <v>4</v>
      </c>
      <c r="Q350" s="3" t="n">
        <v>269</v>
      </c>
      <c r="R350" s="2"/>
      <c r="S350" s="2"/>
      <c r="T350" s="2"/>
      <c r="U350" s="2"/>
      <c r="V350" s="2" t="n">
        <v>1</v>
      </c>
      <c r="W350" s="2"/>
      <c r="X350" s="2"/>
      <c r="Y350" s="2"/>
      <c r="Z350" s="2"/>
      <c r="AA350" s="2"/>
      <c r="AB350" s="2" t="n">
        <v>1</v>
      </c>
      <c r="AC350" s="2" t="n">
        <v>3</v>
      </c>
      <c r="AD350" s="2" t="n">
        <v>1</v>
      </c>
      <c r="AE350" s="2" t="n">
        <v>1</v>
      </c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4" t="s">
        <v>1306</v>
      </c>
    </row>
    <row r="351" customFormat="false" ht="15" hidden="false" customHeight="false" outlineLevel="0" collapsed="false">
      <c r="A351" s="2" t="n">
        <v>668489</v>
      </c>
      <c r="B351" s="2" t="s">
        <v>1307</v>
      </c>
      <c r="C351" s="2" t="s">
        <v>1267</v>
      </c>
      <c r="D351" s="2" t="s">
        <v>58</v>
      </c>
      <c r="E351" s="2" t="s">
        <v>59</v>
      </c>
      <c r="F351" s="2" t="s">
        <v>70</v>
      </c>
      <c r="G351" s="2" t="s">
        <v>75</v>
      </c>
      <c r="H351" s="2" t="s">
        <v>75</v>
      </c>
      <c r="I351" s="2" t="n">
        <v>17</v>
      </c>
      <c r="J351" s="2" t="n">
        <v>33</v>
      </c>
      <c r="K351" s="2" t="s">
        <v>1308</v>
      </c>
      <c r="L351" s="2" t="s">
        <v>346</v>
      </c>
      <c r="M351" s="2" t="n">
        <v>180</v>
      </c>
      <c r="N351" s="3" t="n">
        <v>50000</v>
      </c>
      <c r="O351" s="2"/>
      <c r="P351" s="2" t="n">
        <v>2</v>
      </c>
      <c r="Q351" s="3" t="n">
        <v>65</v>
      </c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 t="n">
        <v>1</v>
      </c>
      <c r="AX351" s="2"/>
      <c r="AY351" s="2"/>
      <c r="AZ351" s="2"/>
      <c r="BA351" s="2"/>
      <c r="BB351" s="2"/>
      <c r="BC351" s="2"/>
      <c r="BD351" s="4" t="s">
        <v>1309</v>
      </c>
    </row>
    <row r="352" customFormat="false" ht="15" hidden="false" customHeight="false" outlineLevel="0" collapsed="false">
      <c r="A352" s="2" t="n">
        <v>1967853</v>
      </c>
      <c r="B352" s="2" t="s">
        <v>1310</v>
      </c>
      <c r="C352" s="2" t="s">
        <v>1267</v>
      </c>
      <c r="D352" s="2" t="s">
        <v>58</v>
      </c>
      <c r="E352" s="2" t="s">
        <v>59</v>
      </c>
      <c r="F352" s="2" t="s">
        <v>70</v>
      </c>
      <c r="G352" s="2" t="s">
        <v>71</v>
      </c>
      <c r="H352" s="2" t="s">
        <v>71</v>
      </c>
      <c r="I352" s="2" t="n">
        <v>30</v>
      </c>
      <c r="J352" s="2" t="n">
        <v>0</v>
      </c>
      <c r="K352" s="2"/>
      <c r="L352" s="2" t="s">
        <v>67</v>
      </c>
      <c r="M352" s="2"/>
      <c r="N352" s="3"/>
      <c r="O352" s="2"/>
      <c r="P352" s="2" t="n">
        <v>1</v>
      </c>
      <c r="Q352" s="3" t="n">
        <v>5</v>
      </c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4" t="s">
        <v>1311</v>
      </c>
    </row>
    <row r="353" customFormat="false" ht="15" hidden="false" customHeight="false" outlineLevel="0" collapsed="false">
      <c r="A353" s="2" t="n">
        <v>2130545</v>
      </c>
      <c r="B353" s="2" t="s">
        <v>1312</v>
      </c>
      <c r="C353" s="2" t="s">
        <v>1267</v>
      </c>
      <c r="D353" s="2" t="s">
        <v>58</v>
      </c>
      <c r="E353" s="2" t="s">
        <v>59</v>
      </c>
      <c r="F353" s="2" t="s">
        <v>70</v>
      </c>
      <c r="G353" s="2"/>
      <c r="H353" s="2"/>
      <c r="I353" s="2" t="n">
        <v>46</v>
      </c>
      <c r="J353" s="2" t="n">
        <v>18</v>
      </c>
      <c r="K353" s="2" t="s">
        <v>1313</v>
      </c>
      <c r="L353" s="2" t="s">
        <v>67</v>
      </c>
      <c r="M353" s="2" t="n">
        <v>170</v>
      </c>
      <c r="N353" s="3"/>
      <c r="O353" s="2"/>
      <c r="P353" s="2"/>
      <c r="Q353" s="3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4" t="s">
        <v>1314</v>
      </c>
    </row>
    <row r="354" customFormat="false" ht="15" hidden="false" customHeight="false" outlineLevel="0" collapsed="false">
      <c r="A354" s="2" t="n">
        <v>660079</v>
      </c>
      <c r="B354" s="2" t="s">
        <v>1315</v>
      </c>
      <c r="C354" s="2" t="s">
        <v>1267</v>
      </c>
      <c r="D354" s="2" t="s">
        <v>58</v>
      </c>
      <c r="E354" s="2" t="s">
        <v>59</v>
      </c>
      <c r="F354" s="2" t="s">
        <v>102</v>
      </c>
      <c r="G354" s="2" t="s">
        <v>427</v>
      </c>
      <c r="H354" s="2" t="s">
        <v>1316</v>
      </c>
      <c r="I354" s="2" t="n">
        <v>8</v>
      </c>
      <c r="J354" s="2" t="n">
        <v>30</v>
      </c>
      <c r="K354" s="2" t="s">
        <v>1317</v>
      </c>
      <c r="L354" s="2" t="s">
        <v>808</v>
      </c>
      <c r="M354" s="2" t="n">
        <v>173</v>
      </c>
      <c r="N354" s="3" t="n">
        <v>50000</v>
      </c>
      <c r="O354" s="2"/>
      <c r="P354" s="2" t="n">
        <v>24</v>
      </c>
      <c r="Q354" s="3" t="n">
        <v>1754</v>
      </c>
      <c r="R354" s="2" t="n">
        <v>6.82</v>
      </c>
      <c r="S354" s="2" t="n">
        <v>0</v>
      </c>
      <c r="T354" s="2"/>
      <c r="U354" s="2"/>
      <c r="V354" s="2" t="n">
        <v>2</v>
      </c>
      <c r="W354" s="2"/>
      <c r="X354" s="2"/>
      <c r="Y354" s="2" t="n">
        <v>0.7</v>
      </c>
      <c r="Z354" s="2" t="n">
        <v>0.3</v>
      </c>
      <c r="AA354" s="2" t="n">
        <v>0</v>
      </c>
      <c r="AB354" s="2"/>
      <c r="AC354" s="2" t="n">
        <v>19</v>
      </c>
      <c r="AD354" s="2" t="n">
        <v>1</v>
      </c>
      <c r="AE354" s="2" t="n">
        <v>2</v>
      </c>
      <c r="AF354" s="2" t="n">
        <v>35</v>
      </c>
      <c r="AG354" s="2" t="n">
        <v>83.5</v>
      </c>
      <c r="AH354" s="2" t="n">
        <v>1.3</v>
      </c>
      <c r="AI354" s="2" t="n">
        <v>35.2</v>
      </c>
      <c r="AJ354" s="2" t="n">
        <v>0.5</v>
      </c>
      <c r="AK354" s="2" t="n">
        <v>47.6</v>
      </c>
      <c r="AL354" s="2"/>
      <c r="AM354" s="2"/>
      <c r="AN354" s="2" t="n">
        <v>3.5</v>
      </c>
      <c r="AO354" s="2" t="n">
        <v>1</v>
      </c>
      <c r="AP354" s="2" t="n">
        <v>1</v>
      </c>
      <c r="AQ354" s="2" t="n">
        <v>1.3</v>
      </c>
      <c r="AR354" s="2" t="n">
        <v>0.2</v>
      </c>
      <c r="AS354" s="2" t="n">
        <v>5.3</v>
      </c>
      <c r="AT354" s="2" t="n">
        <v>0.5</v>
      </c>
      <c r="AU354" s="2" t="n">
        <v>1.9</v>
      </c>
      <c r="AV354" s="2" t="n">
        <v>0.6</v>
      </c>
      <c r="AW354" s="2"/>
      <c r="AX354" s="2"/>
      <c r="AY354" s="2"/>
      <c r="AZ354" s="2"/>
      <c r="BA354" s="2"/>
      <c r="BB354" s="2"/>
      <c r="BC354" s="2"/>
      <c r="BD354" s="4" t="s">
        <v>1318</v>
      </c>
    </row>
    <row r="355" customFormat="false" ht="15" hidden="false" customHeight="false" outlineLevel="0" collapsed="false">
      <c r="A355" s="2" t="n">
        <v>1035025</v>
      </c>
      <c r="B355" s="2" t="s">
        <v>1319</v>
      </c>
      <c r="C355" s="2" t="s">
        <v>1267</v>
      </c>
      <c r="D355" s="2" t="s">
        <v>58</v>
      </c>
      <c r="E355" s="2" t="s">
        <v>59</v>
      </c>
      <c r="F355" s="2" t="s">
        <v>102</v>
      </c>
      <c r="G355" s="2" t="s">
        <v>404</v>
      </c>
      <c r="H355" s="2" t="s">
        <v>1320</v>
      </c>
      <c r="I355" s="2" t="n">
        <v>22</v>
      </c>
      <c r="J355" s="2" t="n">
        <v>32</v>
      </c>
      <c r="K355" s="2" t="s">
        <v>1321</v>
      </c>
      <c r="L355" s="2" t="s">
        <v>178</v>
      </c>
      <c r="M355" s="2" t="n">
        <v>183</v>
      </c>
      <c r="N355" s="3" t="n">
        <v>50000</v>
      </c>
      <c r="O355" s="2"/>
      <c r="P355" s="2" t="n">
        <v>22</v>
      </c>
      <c r="Q355" s="3" t="n">
        <v>1462</v>
      </c>
      <c r="R355" s="2" t="n">
        <v>7.16</v>
      </c>
      <c r="S355" s="2" t="n">
        <v>1</v>
      </c>
      <c r="T355" s="2" t="n">
        <v>2</v>
      </c>
      <c r="U355" s="2" t="n">
        <v>0</v>
      </c>
      <c r="V355" s="2" t="n">
        <v>3</v>
      </c>
      <c r="W355" s="2"/>
      <c r="X355" s="2" t="n">
        <v>0.12</v>
      </c>
      <c r="Y355" s="2" t="n">
        <v>1.8</v>
      </c>
      <c r="Z355" s="2" t="n">
        <v>0.7</v>
      </c>
      <c r="AA355" s="2" t="n">
        <v>6.9</v>
      </c>
      <c r="AB355" s="2" t="n">
        <v>2</v>
      </c>
      <c r="AC355" s="2" t="n">
        <v>26</v>
      </c>
      <c r="AD355" s="2" t="n">
        <v>1.6</v>
      </c>
      <c r="AE355" s="2" t="n">
        <v>6</v>
      </c>
      <c r="AF355" s="2" t="n">
        <v>31.3</v>
      </c>
      <c r="AG355" s="2" t="n">
        <v>76.5</v>
      </c>
      <c r="AH355" s="2" t="n">
        <v>1.5</v>
      </c>
      <c r="AI355" s="2" t="n">
        <v>42.1</v>
      </c>
      <c r="AJ355" s="2" t="n">
        <v>1.2</v>
      </c>
      <c r="AK355" s="2" t="n">
        <v>46.3</v>
      </c>
      <c r="AL355" s="2"/>
      <c r="AM355" s="2"/>
      <c r="AN355" s="2" t="n">
        <v>4.1</v>
      </c>
      <c r="AO355" s="2" t="n">
        <v>1.6</v>
      </c>
      <c r="AP355" s="2" t="n">
        <v>0.8</v>
      </c>
      <c r="AQ355" s="2" t="n">
        <v>1.5</v>
      </c>
      <c r="AR355" s="2" t="n">
        <v>0.2</v>
      </c>
      <c r="AS355" s="2" t="n">
        <v>5</v>
      </c>
      <c r="AT355" s="2" t="n">
        <v>0.4</v>
      </c>
      <c r="AU355" s="2" t="n">
        <v>3</v>
      </c>
      <c r="AV355" s="2" t="n">
        <v>0.6</v>
      </c>
      <c r="AW355" s="2" t="n">
        <v>3</v>
      </c>
      <c r="AX355" s="2"/>
      <c r="AY355" s="2"/>
      <c r="AZ355" s="2"/>
      <c r="BA355" s="2"/>
      <c r="BB355" s="2"/>
      <c r="BC355" s="2"/>
      <c r="BD355" s="4" t="s">
        <v>1322</v>
      </c>
    </row>
    <row r="356" customFormat="false" ht="15" hidden="false" customHeight="false" outlineLevel="0" collapsed="false">
      <c r="A356" s="2" t="n">
        <v>1610327</v>
      </c>
      <c r="B356" s="2" t="s">
        <v>1323</v>
      </c>
      <c r="C356" s="2" t="s">
        <v>1267</v>
      </c>
      <c r="D356" s="2" t="s">
        <v>58</v>
      </c>
      <c r="E356" s="2" t="s">
        <v>59</v>
      </c>
      <c r="F356" s="2" t="s">
        <v>102</v>
      </c>
      <c r="G356" s="2" t="s">
        <v>404</v>
      </c>
      <c r="H356" s="2" t="s">
        <v>597</v>
      </c>
      <c r="I356" s="2" t="n">
        <v>5</v>
      </c>
      <c r="J356" s="2" t="n">
        <v>25</v>
      </c>
      <c r="K356" s="2" t="s">
        <v>1324</v>
      </c>
      <c r="L356" s="2" t="s">
        <v>198</v>
      </c>
      <c r="M356" s="2" t="n">
        <v>176</v>
      </c>
      <c r="N356" s="3"/>
      <c r="O356" s="2"/>
      <c r="P356" s="2" t="n">
        <v>22</v>
      </c>
      <c r="Q356" s="3" t="n">
        <v>1445</v>
      </c>
      <c r="R356" s="2" t="n">
        <v>6.59</v>
      </c>
      <c r="S356" s="2" t="n">
        <v>0</v>
      </c>
      <c r="T356" s="2"/>
      <c r="U356" s="2"/>
      <c r="V356" s="2"/>
      <c r="W356" s="2"/>
      <c r="X356" s="2"/>
      <c r="Y356" s="2" t="n">
        <v>0.2</v>
      </c>
      <c r="Z356" s="2" t="n">
        <v>0.1</v>
      </c>
      <c r="AA356" s="2" t="n">
        <v>0</v>
      </c>
      <c r="AB356" s="2" t="n">
        <v>2</v>
      </c>
      <c r="AC356" s="2" t="n">
        <v>7</v>
      </c>
      <c r="AD356" s="2" t="n">
        <v>0.4</v>
      </c>
      <c r="AE356" s="2" t="n">
        <v>1</v>
      </c>
      <c r="AF356" s="2" t="n">
        <v>30.6</v>
      </c>
      <c r="AG356" s="2" t="n">
        <v>86.2</v>
      </c>
      <c r="AH356" s="2" t="n">
        <v>1.1</v>
      </c>
      <c r="AI356" s="2" t="n">
        <v>43.6</v>
      </c>
      <c r="AJ356" s="2" t="n">
        <v>0.4</v>
      </c>
      <c r="AK356" s="2" t="n">
        <v>70</v>
      </c>
      <c r="AL356" s="2"/>
      <c r="AM356" s="2"/>
      <c r="AN356" s="2" t="n">
        <v>5.9</v>
      </c>
      <c r="AO356" s="2" t="n">
        <v>2.6</v>
      </c>
      <c r="AP356" s="2" t="n">
        <v>1.2</v>
      </c>
      <c r="AQ356" s="2" t="n">
        <v>1.4</v>
      </c>
      <c r="AR356" s="2" t="n">
        <v>0.7</v>
      </c>
      <c r="AS356" s="2" t="n">
        <v>3.6</v>
      </c>
      <c r="AT356" s="2" t="n">
        <v>0.1</v>
      </c>
      <c r="AU356" s="2" t="n">
        <v>2.1</v>
      </c>
      <c r="AV356" s="2" t="n">
        <v>3</v>
      </c>
      <c r="AW356" s="2" t="n">
        <v>10</v>
      </c>
      <c r="AX356" s="2"/>
      <c r="AY356" s="2"/>
      <c r="AZ356" s="2"/>
      <c r="BA356" s="2"/>
      <c r="BB356" s="2"/>
      <c r="BC356" s="2"/>
      <c r="BD356" s="4" t="s">
        <v>1325</v>
      </c>
    </row>
    <row r="357" customFormat="false" ht="15" hidden="false" customHeight="false" outlineLevel="0" collapsed="false">
      <c r="A357" s="2" t="n">
        <v>643612</v>
      </c>
      <c r="B357" s="2" t="s">
        <v>1326</v>
      </c>
      <c r="C357" s="2" t="s">
        <v>1267</v>
      </c>
      <c r="D357" s="2" t="s">
        <v>58</v>
      </c>
      <c r="E357" s="2" t="s">
        <v>59</v>
      </c>
      <c r="F357" s="2" t="s">
        <v>102</v>
      </c>
      <c r="G357" s="2" t="s">
        <v>404</v>
      </c>
      <c r="H357" s="2" t="s">
        <v>1327</v>
      </c>
      <c r="I357" s="2" t="n">
        <v>9</v>
      </c>
      <c r="J357" s="2" t="n">
        <v>30</v>
      </c>
      <c r="K357" s="2" t="s">
        <v>1328</v>
      </c>
      <c r="L357" s="2" t="s">
        <v>67</v>
      </c>
      <c r="M357" s="2" t="n">
        <v>176</v>
      </c>
      <c r="N357" s="3" t="n">
        <v>50302</v>
      </c>
      <c r="O357" s="2"/>
      <c r="P357" s="2" t="n">
        <v>20</v>
      </c>
      <c r="Q357" s="3" t="n">
        <v>1345</v>
      </c>
      <c r="R357" s="2" t="n">
        <v>6.74</v>
      </c>
      <c r="S357" s="2" t="n">
        <v>0</v>
      </c>
      <c r="T357" s="2"/>
      <c r="U357" s="2"/>
      <c r="V357" s="2" t="n">
        <v>2</v>
      </c>
      <c r="W357" s="2"/>
      <c r="X357" s="2"/>
      <c r="Y357" s="2" t="n">
        <v>1.7</v>
      </c>
      <c r="Z357" s="2" t="n">
        <v>0.3</v>
      </c>
      <c r="AA357" s="2" t="n">
        <v>0</v>
      </c>
      <c r="AB357" s="2"/>
      <c r="AC357" s="2" t="n">
        <v>19</v>
      </c>
      <c r="AD357" s="2" t="n">
        <v>1.3</v>
      </c>
      <c r="AE357" s="2" t="n">
        <v>3</v>
      </c>
      <c r="AF357" s="2" t="n">
        <v>38</v>
      </c>
      <c r="AG357" s="2" t="n">
        <v>90.9</v>
      </c>
      <c r="AH357" s="2" t="n">
        <v>1.1</v>
      </c>
      <c r="AI357" s="2" t="n">
        <v>53.1</v>
      </c>
      <c r="AJ357" s="2" t="n">
        <v>0.8</v>
      </c>
      <c r="AK357" s="2" t="n">
        <v>52.2</v>
      </c>
      <c r="AL357" s="2"/>
      <c r="AM357" s="2"/>
      <c r="AN357" s="2" t="n">
        <v>2.1</v>
      </c>
      <c r="AO357" s="2" t="n">
        <v>1.4</v>
      </c>
      <c r="AP357" s="2" t="n">
        <v>0.4</v>
      </c>
      <c r="AQ357" s="2" t="n">
        <v>0.3</v>
      </c>
      <c r="AR357" s="2"/>
      <c r="AS357" s="2" t="n">
        <v>3.7</v>
      </c>
      <c r="AT357" s="2" t="n">
        <v>0.3</v>
      </c>
      <c r="AU357" s="2" t="n">
        <v>1.9</v>
      </c>
      <c r="AV357" s="2" t="n">
        <v>1.9</v>
      </c>
      <c r="AW357" s="2" t="n">
        <v>2</v>
      </c>
      <c r="AX357" s="2"/>
      <c r="AY357" s="2"/>
      <c r="AZ357" s="2"/>
      <c r="BA357" s="2"/>
      <c r="BB357" s="2"/>
      <c r="BC357" s="2"/>
      <c r="BD357" s="4" t="s">
        <v>1329</v>
      </c>
    </row>
    <row r="358" customFormat="false" ht="15" hidden="false" customHeight="false" outlineLevel="0" collapsed="false">
      <c r="A358" s="2" t="n">
        <v>855287</v>
      </c>
      <c r="B358" s="2" t="s">
        <v>1330</v>
      </c>
      <c r="C358" s="2" t="s">
        <v>1267</v>
      </c>
      <c r="D358" s="2" t="s">
        <v>58</v>
      </c>
      <c r="E358" s="2" t="s">
        <v>59</v>
      </c>
      <c r="F358" s="2" t="s">
        <v>102</v>
      </c>
      <c r="G358" s="2" t="s">
        <v>404</v>
      </c>
      <c r="H358" s="2" t="s">
        <v>1331</v>
      </c>
      <c r="I358" s="2" t="n">
        <v>16</v>
      </c>
      <c r="J358" s="2" t="n">
        <v>27</v>
      </c>
      <c r="K358" s="2" t="s">
        <v>1332</v>
      </c>
      <c r="L358" s="2" t="s">
        <v>214</v>
      </c>
      <c r="M358" s="2" t="n">
        <v>175</v>
      </c>
      <c r="N358" s="3" t="n">
        <v>53317</v>
      </c>
      <c r="O358" s="2"/>
      <c r="P358" s="2" t="n">
        <v>23</v>
      </c>
      <c r="Q358" s="3" t="n">
        <v>1108</v>
      </c>
      <c r="R358" s="2" t="n">
        <v>6.46</v>
      </c>
      <c r="S358" s="2" t="n">
        <v>0</v>
      </c>
      <c r="T358" s="2" t="n">
        <v>1</v>
      </c>
      <c r="U358" s="2" t="n">
        <v>0</v>
      </c>
      <c r="V358" s="2"/>
      <c r="W358" s="2"/>
      <c r="X358" s="2" t="n">
        <v>0.08</v>
      </c>
      <c r="Y358" s="2" t="n">
        <v>1.6</v>
      </c>
      <c r="Z358" s="2" t="n">
        <v>0.5</v>
      </c>
      <c r="AA358" s="2" t="n">
        <v>5</v>
      </c>
      <c r="AB358" s="2" t="n">
        <v>2</v>
      </c>
      <c r="AC358" s="2" t="n">
        <v>14</v>
      </c>
      <c r="AD358" s="2" t="n">
        <v>1.1</v>
      </c>
      <c r="AE358" s="2"/>
      <c r="AF358" s="2" t="n">
        <v>33.5</v>
      </c>
      <c r="AG358" s="2" t="n">
        <v>84.6</v>
      </c>
      <c r="AH358" s="2" t="n">
        <v>3.4</v>
      </c>
      <c r="AI358" s="2" t="n">
        <v>57.5</v>
      </c>
      <c r="AJ358" s="2" t="n">
        <v>0.2</v>
      </c>
      <c r="AK358" s="2" t="n">
        <v>11.1</v>
      </c>
      <c r="AL358" s="2" t="n">
        <v>1</v>
      </c>
      <c r="AM358" s="2" t="n">
        <v>2</v>
      </c>
      <c r="AN358" s="2" t="n">
        <v>4.8</v>
      </c>
      <c r="AO358" s="2" t="n">
        <v>2.1</v>
      </c>
      <c r="AP358" s="2" t="n">
        <v>0.6</v>
      </c>
      <c r="AQ358" s="2" t="n">
        <v>1.5</v>
      </c>
      <c r="AR358" s="2" t="n">
        <v>0.6</v>
      </c>
      <c r="AS358" s="2" t="n">
        <v>3.9</v>
      </c>
      <c r="AT358" s="2" t="n">
        <v>0.3</v>
      </c>
      <c r="AU358" s="2" t="n">
        <v>1.8</v>
      </c>
      <c r="AV358" s="2" t="n">
        <v>1.3</v>
      </c>
      <c r="AW358" s="2" t="n">
        <v>3</v>
      </c>
      <c r="AX358" s="2"/>
      <c r="AY358" s="2"/>
      <c r="AZ358" s="2"/>
      <c r="BA358" s="2"/>
      <c r="BB358" s="2"/>
      <c r="BC358" s="2"/>
      <c r="BD358" s="4" t="s">
        <v>1333</v>
      </c>
    </row>
    <row r="359" customFormat="false" ht="15" hidden="false" customHeight="false" outlineLevel="0" collapsed="false">
      <c r="A359" s="2" t="n">
        <v>1524674</v>
      </c>
      <c r="B359" s="2" t="s">
        <v>1334</v>
      </c>
      <c r="C359" s="2" t="s">
        <v>1267</v>
      </c>
      <c r="D359" s="2" t="s">
        <v>58</v>
      </c>
      <c r="E359" s="2" t="s">
        <v>59</v>
      </c>
      <c r="F359" s="2" t="s">
        <v>102</v>
      </c>
      <c r="G359" s="2" t="s">
        <v>404</v>
      </c>
      <c r="H359" s="2" t="s">
        <v>597</v>
      </c>
      <c r="I359" s="2" t="n">
        <v>23</v>
      </c>
      <c r="J359" s="2" t="n">
        <v>22</v>
      </c>
      <c r="K359" s="2" t="s">
        <v>1335</v>
      </c>
      <c r="L359" s="2" t="s">
        <v>67</v>
      </c>
      <c r="M359" s="2" t="n">
        <v>183</v>
      </c>
      <c r="N359" s="3" t="n">
        <v>238755</v>
      </c>
      <c r="O359" s="2"/>
      <c r="P359" s="2" t="n">
        <v>19</v>
      </c>
      <c r="Q359" s="3" t="n">
        <v>884</v>
      </c>
      <c r="R359" s="2" t="n">
        <v>6.31</v>
      </c>
      <c r="S359" s="2" t="n">
        <v>0</v>
      </c>
      <c r="T359" s="2" t="n">
        <v>1</v>
      </c>
      <c r="U359" s="2" t="n">
        <v>0</v>
      </c>
      <c r="V359" s="2"/>
      <c r="W359" s="2"/>
      <c r="X359" s="2" t="n">
        <v>0.1</v>
      </c>
      <c r="Y359" s="2" t="n">
        <v>0.5</v>
      </c>
      <c r="Z359" s="2" t="n">
        <v>0.3</v>
      </c>
      <c r="AA359" s="2" t="n">
        <v>20</v>
      </c>
      <c r="AB359" s="2"/>
      <c r="AC359" s="2" t="n">
        <v>8</v>
      </c>
      <c r="AD359" s="2" t="n">
        <v>0.8</v>
      </c>
      <c r="AE359" s="2" t="n">
        <v>2</v>
      </c>
      <c r="AF359" s="2" t="n">
        <v>46.4</v>
      </c>
      <c r="AG359" s="2" t="n">
        <v>89.6</v>
      </c>
      <c r="AH359" s="2" t="n">
        <v>2</v>
      </c>
      <c r="AI359" s="2" t="n">
        <v>48.8</v>
      </c>
      <c r="AJ359" s="2" t="n">
        <v>0.1</v>
      </c>
      <c r="AK359" s="2" t="n">
        <v>20</v>
      </c>
      <c r="AL359" s="2"/>
      <c r="AM359" s="2"/>
      <c r="AN359" s="2" t="n">
        <v>4.2</v>
      </c>
      <c r="AO359" s="2" t="n">
        <v>1.4</v>
      </c>
      <c r="AP359" s="2" t="n">
        <v>0.6</v>
      </c>
      <c r="AQ359" s="2" t="n">
        <v>1.5</v>
      </c>
      <c r="AR359" s="2" t="n">
        <v>0.6</v>
      </c>
      <c r="AS359" s="2" t="n">
        <v>4.1</v>
      </c>
      <c r="AT359" s="2" t="n">
        <v>0.1</v>
      </c>
      <c r="AU359" s="2" t="n">
        <v>1.9</v>
      </c>
      <c r="AV359" s="2" t="n">
        <v>1.5</v>
      </c>
      <c r="AW359" s="2" t="n">
        <v>4</v>
      </c>
      <c r="AX359" s="2"/>
      <c r="AY359" s="2" t="n">
        <v>1</v>
      </c>
      <c r="AZ359" s="2"/>
      <c r="BA359" s="2"/>
      <c r="BB359" s="2"/>
      <c r="BC359" s="2"/>
      <c r="BD359" s="4" t="s">
        <v>1336</v>
      </c>
    </row>
    <row r="360" customFormat="false" ht="15" hidden="false" customHeight="false" outlineLevel="0" collapsed="false">
      <c r="A360" s="2" t="n">
        <v>1938728</v>
      </c>
      <c r="B360" s="2" t="s">
        <v>1337</v>
      </c>
      <c r="C360" s="2" t="s">
        <v>1267</v>
      </c>
      <c r="D360" s="2" t="s">
        <v>58</v>
      </c>
      <c r="E360" s="2" t="s">
        <v>59</v>
      </c>
      <c r="F360" s="2" t="s">
        <v>102</v>
      </c>
      <c r="G360" s="2" t="s">
        <v>221</v>
      </c>
      <c r="H360" s="2" t="s">
        <v>221</v>
      </c>
      <c r="I360" s="2" t="n">
        <v>18</v>
      </c>
      <c r="J360" s="2" t="n">
        <v>18</v>
      </c>
      <c r="K360" s="2" t="s">
        <v>1338</v>
      </c>
      <c r="L360" s="2" t="s">
        <v>89</v>
      </c>
      <c r="M360" s="2" t="n">
        <v>185</v>
      </c>
      <c r="N360" s="3"/>
      <c r="O360" s="2"/>
      <c r="P360" s="2" t="n">
        <v>4</v>
      </c>
      <c r="Q360" s="3" t="n">
        <v>112</v>
      </c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 t="n">
        <v>2</v>
      </c>
      <c r="AD360" s="2" t="n">
        <v>1.6</v>
      </c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 t="n">
        <v>2</v>
      </c>
      <c r="AX360" s="2"/>
      <c r="AY360" s="2"/>
      <c r="AZ360" s="2"/>
      <c r="BA360" s="2"/>
      <c r="BB360" s="2"/>
      <c r="BC360" s="2"/>
      <c r="BD360" s="4" t="s">
        <v>1339</v>
      </c>
    </row>
    <row r="361" customFormat="false" ht="15" hidden="false" customHeight="false" outlineLevel="0" collapsed="false">
      <c r="A361" s="2" t="n">
        <v>1392871</v>
      </c>
      <c r="B361" s="2" t="s">
        <v>1340</v>
      </c>
      <c r="C361" s="2" t="s">
        <v>1267</v>
      </c>
      <c r="D361" s="2" t="s">
        <v>58</v>
      </c>
      <c r="E361" s="2" t="s">
        <v>59</v>
      </c>
      <c r="F361" s="2" t="s">
        <v>137</v>
      </c>
      <c r="G361" s="2" t="s">
        <v>138</v>
      </c>
      <c r="H361" s="2" t="s">
        <v>1341</v>
      </c>
      <c r="I361" s="2" t="n">
        <v>26</v>
      </c>
      <c r="J361" s="2" t="n">
        <v>23</v>
      </c>
      <c r="K361" s="2" t="s">
        <v>1342</v>
      </c>
      <c r="L361" s="2" t="s">
        <v>337</v>
      </c>
      <c r="M361" s="2" t="n">
        <v>175</v>
      </c>
      <c r="N361" s="3" t="n">
        <v>123263</v>
      </c>
      <c r="O361" s="2"/>
      <c r="P361" s="2" t="n">
        <v>21</v>
      </c>
      <c r="Q361" s="3" t="n">
        <v>1483</v>
      </c>
      <c r="R361" s="2" t="n">
        <v>7.05</v>
      </c>
      <c r="S361" s="2" t="n">
        <v>4</v>
      </c>
      <c r="T361" s="2" t="n">
        <v>7</v>
      </c>
      <c r="U361" s="2" t="n">
        <v>2</v>
      </c>
      <c r="V361" s="2" t="n">
        <v>3</v>
      </c>
      <c r="W361" s="2"/>
      <c r="X361" s="2" t="n">
        <v>0.42</v>
      </c>
      <c r="Y361" s="2" t="n">
        <v>1.9</v>
      </c>
      <c r="Z361" s="2" t="n">
        <v>0.9</v>
      </c>
      <c r="AA361" s="2" t="n">
        <v>22.6</v>
      </c>
      <c r="AB361" s="2" t="n">
        <v>4</v>
      </c>
      <c r="AC361" s="2" t="n">
        <v>24</v>
      </c>
      <c r="AD361" s="2" t="n">
        <v>1.5</v>
      </c>
      <c r="AE361" s="2" t="n">
        <v>1</v>
      </c>
      <c r="AF361" s="2" t="n">
        <v>21.2</v>
      </c>
      <c r="AG361" s="2" t="n">
        <v>79.7</v>
      </c>
      <c r="AH361" s="2" t="n">
        <v>1.8</v>
      </c>
      <c r="AI361" s="2" t="n">
        <v>54.7</v>
      </c>
      <c r="AJ361" s="2" t="n">
        <v>0.5</v>
      </c>
      <c r="AK361" s="2" t="n">
        <v>69.2</v>
      </c>
      <c r="AL361" s="2" t="n">
        <v>1</v>
      </c>
      <c r="AM361" s="2" t="n">
        <v>1.9</v>
      </c>
      <c r="AN361" s="2" t="n">
        <v>1.9</v>
      </c>
      <c r="AO361" s="2" t="n">
        <v>0.9</v>
      </c>
      <c r="AP361" s="2" t="n">
        <v>0.4</v>
      </c>
      <c r="AQ361" s="2" t="n">
        <v>0.5</v>
      </c>
      <c r="AR361" s="2" t="n">
        <v>0.1</v>
      </c>
      <c r="AS361" s="2" t="n">
        <v>2.9</v>
      </c>
      <c r="AT361" s="2" t="n">
        <v>0.4</v>
      </c>
      <c r="AU361" s="2" t="n">
        <v>1.5</v>
      </c>
      <c r="AV361" s="2" t="n">
        <v>0.9</v>
      </c>
      <c r="AW361" s="2" t="n">
        <v>3</v>
      </c>
      <c r="AX361" s="2"/>
      <c r="AY361" s="2"/>
      <c r="AZ361" s="2"/>
      <c r="BA361" s="2"/>
      <c r="BB361" s="2"/>
      <c r="BC361" s="2"/>
      <c r="BD361" s="4" t="s">
        <v>1343</v>
      </c>
    </row>
    <row r="362" customFormat="false" ht="15" hidden="false" customHeight="false" outlineLevel="0" collapsed="false">
      <c r="A362" s="2" t="n">
        <v>1626466</v>
      </c>
      <c r="B362" s="2" t="s">
        <v>1344</v>
      </c>
      <c r="C362" s="2" t="s">
        <v>1267</v>
      </c>
      <c r="D362" s="2" t="s">
        <v>58</v>
      </c>
      <c r="E362" s="2" t="s">
        <v>59</v>
      </c>
      <c r="F362" s="2" t="s">
        <v>137</v>
      </c>
      <c r="G362" s="2" t="s">
        <v>133</v>
      </c>
      <c r="H362" s="2" t="s">
        <v>1345</v>
      </c>
      <c r="I362" s="2" t="n">
        <v>7</v>
      </c>
      <c r="J362" s="2" t="n">
        <v>25</v>
      </c>
      <c r="K362" s="2" t="s">
        <v>1346</v>
      </c>
      <c r="L362" s="2" t="s">
        <v>110</v>
      </c>
      <c r="M362" s="2" t="n">
        <v>188</v>
      </c>
      <c r="N362" s="3" t="n">
        <v>70992</v>
      </c>
      <c r="O362" s="2"/>
      <c r="P362" s="2" t="n">
        <v>24</v>
      </c>
      <c r="Q362" s="3" t="n">
        <v>1355</v>
      </c>
      <c r="R362" s="2" t="n">
        <v>6.69</v>
      </c>
      <c r="S362" s="2" t="n">
        <v>0</v>
      </c>
      <c r="T362" s="2" t="n">
        <v>2</v>
      </c>
      <c r="U362" s="2" t="n">
        <v>0</v>
      </c>
      <c r="V362" s="2" t="n">
        <v>4</v>
      </c>
      <c r="W362" s="2"/>
      <c r="X362" s="2" t="n">
        <v>0.13</v>
      </c>
      <c r="Y362" s="2" t="n">
        <v>1.7</v>
      </c>
      <c r="Z362" s="2" t="n">
        <v>0.7</v>
      </c>
      <c r="AA362" s="2" t="n">
        <v>7.7</v>
      </c>
      <c r="AB362" s="2" t="n">
        <v>4</v>
      </c>
      <c r="AC362" s="2" t="n">
        <v>30</v>
      </c>
      <c r="AD362" s="2" t="n">
        <v>2</v>
      </c>
      <c r="AE362" s="2" t="n">
        <v>10</v>
      </c>
      <c r="AF362" s="2" t="n">
        <v>21.7</v>
      </c>
      <c r="AG362" s="2" t="n">
        <v>70.3</v>
      </c>
      <c r="AH362" s="2" t="n">
        <v>2.8</v>
      </c>
      <c r="AI362" s="2" t="n">
        <v>56</v>
      </c>
      <c r="AJ362" s="2" t="n">
        <v>2.1</v>
      </c>
      <c r="AK362" s="2" t="n">
        <v>48.4</v>
      </c>
      <c r="AL362" s="2"/>
      <c r="AM362" s="2"/>
      <c r="AN362" s="2" t="n">
        <v>1.2</v>
      </c>
      <c r="AO362" s="2" t="n">
        <v>0.8</v>
      </c>
      <c r="AP362" s="2" t="n">
        <v>0.3</v>
      </c>
      <c r="AQ362" s="2" t="n">
        <v>0.1</v>
      </c>
      <c r="AR362" s="2"/>
      <c r="AS362" s="2" t="n">
        <v>2.9</v>
      </c>
      <c r="AT362" s="2" t="n">
        <v>0.5</v>
      </c>
      <c r="AU362" s="2" t="n">
        <v>1.9</v>
      </c>
      <c r="AV362" s="2" t="n">
        <v>1.5</v>
      </c>
      <c r="AW362" s="2" t="n">
        <v>3</v>
      </c>
      <c r="AX362" s="2" t="n">
        <v>1</v>
      </c>
      <c r="AY362" s="2"/>
      <c r="AZ362" s="2"/>
      <c r="BA362" s="2"/>
      <c r="BB362" s="2"/>
      <c r="BC362" s="2"/>
      <c r="BD362" s="4" t="s">
        <v>1347</v>
      </c>
    </row>
    <row r="363" customFormat="false" ht="15" hidden="false" customHeight="false" outlineLevel="0" collapsed="false">
      <c r="A363" s="2" t="n">
        <v>1421734</v>
      </c>
      <c r="B363" s="2" t="s">
        <v>1348</v>
      </c>
      <c r="C363" s="2" t="s">
        <v>1267</v>
      </c>
      <c r="D363" s="2" t="s">
        <v>58</v>
      </c>
      <c r="E363" s="2" t="s">
        <v>59</v>
      </c>
      <c r="F363" s="2" t="s">
        <v>137</v>
      </c>
      <c r="G363" s="2" t="s">
        <v>147</v>
      </c>
      <c r="H363" s="2" t="s">
        <v>147</v>
      </c>
      <c r="I363" s="2" t="n">
        <v>24</v>
      </c>
      <c r="J363" s="2" t="n">
        <v>23</v>
      </c>
      <c r="K363" s="2" t="s">
        <v>1349</v>
      </c>
      <c r="L363" s="2" t="s">
        <v>761</v>
      </c>
      <c r="M363" s="2" t="n">
        <v>180</v>
      </c>
      <c r="N363" s="3"/>
      <c r="O363" s="2"/>
      <c r="P363" s="2" t="n">
        <v>7</v>
      </c>
      <c r="Q363" s="3" t="n">
        <v>403</v>
      </c>
      <c r="R363" s="2"/>
      <c r="S363" s="2"/>
      <c r="T363" s="2" t="n">
        <v>1</v>
      </c>
      <c r="U363" s="2" t="n">
        <v>0</v>
      </c>
      <c r="V363" s="2"/>
      <c r="W363" s="2"/>
      <c r="X363" s="2"/>
      <c r="Y363" s="2"/>
      <c r="Z363" s="2"/>
      <c r="AA363" s="2"/>
      <c r="AB363" s="2" t="n">
        <v>1</v>
      </c>
      <c r="AC363" s="2" t="n">
        <v>4</v>
      </c>
      <c r="AD363" s="2" t="n">
        <v>0.9</v>
      </c>
      <c r="AE363" s="2" t="n">
        <v>1</v>
      </c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 t="n">
        <v>4</v>
      </c>
      <c r="AX363" s="2" t="n">
        <v>1</v>
      </c>
      <c r="AY363" s="2"/>
      <c r="AZ363" s="2"/>
      <c r="BA363" s="2"/>
      <c r="BB363" s="2"/>
      <c r="BC363" s="2"/>
      <c r="BD363" s="4" t="s">
        <v>1350</v>
      </c>
    </row>
    <row r="364" customFormat="false" ht="15" hidden="false" customHeight="false" outlineLevel="0" collapsed="false">
      <c r="A364" s="2" t="n">
        <v>1804489</v>
      </c>
      <c r="B364" s="2" t="s">
        <v>1351</v>
      </c>
      <c r="C364" s="2" t="s">
        <v>1267</v>
      </c>
      <c r="D364" s="2" t="s">
        <v>58</v>
      </c>
      <c r="E364" s="2" t="s">
        <v>59</v>
      </c>
      <c r="F364" s="2" t="s">
        <v>137</v>
      </c>
      <c r="G364" s="2" t="s">
        <v>138</v>
      </c>
      <c r="H364" s="2" t="s">
        <v>138</v>
      </c>
      <c r="I364" s="2" t="n">
        <v>37</v>
      </c>
      <c r="J364" s="2" t="n">
        <v>19</v>
      </c>
      <c r="K364" s="2" t="s">
        <v>1352</v>
      </c>
      <c r="L364" s="2" t="s">
        <v>67</v>
      </c>
      <c r="M364" s="2" t="n">
        <v>183</v>
      </c>
      <c r="N364" s="3"/>
      <c r="O364" s="2"/>
      <c r="P364" s="2" t="n">
        <v>12</v>
      </c>
      <c r="Q364" s="3" t="n">
        <v>267</v>
      </c>
      <c r="R364" s="2"/>
      <c r="S364" s="2"/>
      <c r="T364" s="2"/>
      <c r="U364" s="2"/>
      <c r="V364" s="2" t="n">
        <v>1</v>
      </c>
      <c r="W364" s="2"/>
      <c r="X364" s="2"/>
      <c r="Y364" s="2"/>
      <c r="Z364" s="2"/>
      <c r="AA364" s="2"/>
      <c r="AB364" s="2"/>
      <c r="AC364" s="2" t="n">
        <v>4</v>
      </c>
      <c r="AD364" s="2" t="n">
        <v>1.3</v>
      </c>
      <c r="AE364" s="2" t="n">
        <v>1</v>
      </c>
      <c r="AF364" s="2"/>
      <c r="AG364" s="2"/>
      <c r="AH364" s="2"/>
      <c r="AI364" s="2"/>
      <c r="AJ364" s="2"/>
      <c r="AK364" s="2"/>
      <c r="AL364" s="2" t="n">
        <v>1</v>
      </c>
      <c r="AM364" s="2" t="n">
        <v>3.4</v>
      </c>
      <c r="AN364" s="2"/>
      <c r="AO364" s="2"/>
      <c r="AP364" s="2"/>
      <c r="AQ364" s="2"/>
      <c r="AR364" s="2"/>
      <c r="AS364" s="2"/>
      <c r="AT364" s="2"/>
      <c r="AU364" s="2"/>
      <c r="AV364" s="2"/>
      <c r="AW364" s="2" t="n">
        <v>2</v>
      </c>
      <c r="AX364" s="2"/>
      <c r="AY364" s="2"/>
      <c r="AZ364" s="2"/>
      <c r="BA364" s="2"/>
      <c r="BB364" s="2"/>
      <c r="BC364" s="2"/>
      <c r="BD364" s="4" t="s">
        <v>1353</v>
      </c>
    </row>
    <row r="365" customFormat="false" ht="15" hidden="false" customHeight="false" outlineLevel="0" collapsed="false">
      <c r="A365" s="2" t="n">
        <v>2130546</v>
      </c>
      <c r="B365" s="2" t="s">
        <v>1354</v>
      </c>
      <c r="C365" s="2" t="s">
        <v>1267</v>
      </c>
      <c r="D365" s="2" t="s">
        <v>58</v>
      </c>
      <c r="E365" s="2" t="s">
        <v>59</v>
      </c>
      <c r="F365" s="2" t="s">
        <v>137</v>
      </c>
      <c r="G365" s="2"/>
      <c r="H365" s="2"/>
      <c r="I365" s="2" t="n">
        <v>47</v>
      </c>
      <c r="J365" s="2" t="n">
        <v>19</v>
      </c>
      <c r="K365" s="2" t="s">
        <v>1355</v>
      </c>
      <c r="L365" s="2" t="s">
        <v>67</v>
      </c>
      <c r="M365" s="2" t="n">
        <v>185</v>
      </c>
      <c r="N365" s="3"/>
      <c r="O365" s="2"/>
      <c r="P365" s="2" t="n">
        <v>2</v>
      </c>
      <c r="Q365" s="3" t="n">
        <v>14</v>
      </c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4" t="s">
        <v>1356</v>
      </c>
    </row>
    <row r="366" customFormat="false" ht="15" hidden="false" customHeight="false" outlineLevel="0" collapsed="false">
      <c r="A366" s="2" t="n">
        <v>1339415</v>
      </c>
      <c r="B366" s="2" t="s">
        <v>1357</v>
      </c>
      <c r="C366" s="2" t="s">
        <v>1358</v>
      </c>
      <c r="D366" s="2" t="s">
        <v>341</v>
      </c>
      <c r="E366" s="2" t="s">
        <v>59</v>
      </c>
      <c r="F366" s="2" t="s">
        <v>60</v>
      </c>
      <c r="G366" s="2" t="s">
        <v>61</v>
      </c>
      <c r="H366" s="2" t="s">
        <v>61</v>
      </c>
      <c r="I366" s="2" t="n">
        <v>98</v>
      </c>
      <c r="J366" s="2" t="n">
        <v>26</v>
      </c>
      <c r="K366" s="2" t="s">
        <v>1359</v>
      </c>
      <c r="L366" s="2" t="s">
        <v>67</v>
      </c>
      <c r="M366" s="2" t="n">
        <v>185</v>
      </c>
      <c r="N366" s="3" t="n">
        <v>94478</v>
      </c>
      <c r="O366" s="2"/>
      <c r="P366" s="2" t="n">
        <v>13</v>
      </c>
      <c r="Q366" s="3" t="n">
        <v>1125</v>
      </c>
      <c r="R366" s="2" t="n">
        <v>6.74</v>
      </c>
      <c r="S366" s="2" t="n">
        <v>0</v>
      </c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 t="n">
        <v>26.4</v>
      </c>
      <c r="AG366" s="2" t="n">
        <v>78.4</v>
      </c>
      <c r="AH366" s="2"/>
      <c r="AI366" s="2"/>
      <c r="AJ366" s="2"/>
      <c r="AK366" s="2"/>
      <c r="AL366" s="2"/>
      <c r="AM366" s="2"/>
      <c r="AN366" s="2" t="n">
        <v>1.5</v>
      </c>
      <c r="AO366" s="2"/>
      <c r="AP366" s="2"/>
      <c r="AQ366" s="2" t="n">
        <v>1.5</v>
      </c>
      <c r="AR366" s="2"/>
      <c r="AS366" s="2" t="n">
        <v>8.6</v>
      </c>
      <c r="AT366" s="2"/>
      <c r="AU366" s="2"/>
      <c r="AV366" s="2"/>
      <c r="AW366" s="2"/>
      <c r="AX366" s="2"/>
      <c r="AY366" s="2"/>
      <c r="AZ366" s="2" t="n">
        <v>2</v>
      </c>
      <c r="BA366" s="2" t="n">
        <v>3.3</v>
      </c>
      <c r="BB366" s="2" t="n">
        <v>68.3</v>
      </c>
      <c r="BC366" s="2" t="n">
        <v>1.5</v>
      </c>
      <c r="BD366" s="4" t="s">
        <v>1360</v>
      </c>
    </row>
    <row r="367" customFormat="false" ht="15" hidden="false" customHeight="false" outlineLevel="0" collapsed="false">
      <c r="A367" s="2" t="n">
        <v>1261616</v>
      </c>
      <c r="B367" s="2" t="s">
        <v>1361</v>
      </c>
      <c r="C367" s="2" t="s">
        <v>1358</v>
      </c>
      <c r="D367" s="2" t="s">
        <v>341</v>
      </c>
      <c r="E367" s="2" t="s">
        <v>59</v>
      </c>
      <c r="F367" s="2" t="s">
        <v>60</v>
      </c>
      <c r="G367" s="2" t="s">
        <v>61</v>
      </c>
      <c r="H367" s="2" t="s">
        <v>61</v>
      </c>
      <c r="I367" s="2" t="n">
        <v>1</v>
      </c>
      <c r="J367" s="2" t="n">
        <v>20</v>
      </c>
      <c r="K367" s="2" t="s">
        <v>1362</v>
      </c>
      <c r="L367" s="2" t="s">
        <v>346</v>
      </c>
      <c r="M367" s="2" t="n">
        <v>188</v>
      </c>
      <c r="N367" s="3" t="n">
        <v>263621</v>
      </c>
      <c r="O367" s="2"/>
      <c r="P367" s="2" t="n">
        <v>11</v>
      </c>
      <c r="Q367" s="3" t="n">
        <v>990</v>
      </c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 t="n">
        <v>2</v>
      </c>
      <c r="AX367" s="2"/>
      <c r="AY367" s="2" t="n">
        <v>1</v>
      </c>
      <c r="AZ367" s="2" t="n">
        <v>2</v>
      </c>
      <c r="BA367" s="2"/>
      <c r="BB367" s="2"/>
      <c r="BC367" s="2"/>
      <c r="BD367" s="4" t="s">
        <v>1363</v>
      </c>
    </row>
    <row r="368" customFormat="false" ht="15" hidden="false" customHeight="false" outlineLevel="0" collapsed="false">
      <c r="A368" s="2" t="n">
        <v>1190741</v>
      </c>
      <c r="B368" s="2" t="s">
        <v>1364</v>
      </c>
      <c r="C368" s="2" t="s">
        <v>1358</v>
      </c>
      <c r="D368" s="2" t="s">
        <v>341</v>
      </c>
      <c r="E368" s="2" t="s">
        <v>59</v>
      </c>
      <c r="F368" s="2" t="s">
        <v>60</v>
      </c>
      <c r="G368" s="2" t="s">
        <v>61</v>
      </c>
      <c r="H368" s="2" t="s">
        <v>61</v>
      </c>
      <c r="I368" s="2" t="n">
        <v>31</v>
      </c>
      <c r="J368" s="2" t="n">
        <v>22</v>
      </c>
      <c r="K368" s="2" t="s">
        <v>1365</v>
      </c>
      <c r="L368" s="2" t="s">
        <v>67</v>
      </c>
      <c r="M368" s="2" t="n">
        <v>188</v>
      </c>
      <c r="N368" s="3"/>
      <c r="O368" s="2"/>
      <c r="P368" s="2" t="n">
        <v>3</v>
      </c>
      <c r="Q368" s="3" t="n">
        <v>225</v>
      </c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 t="n">
        <v>1</v>
      </c>
      <c r="AX368" s="2"/>
      <c r="AY368" s="2" t="n">
        <v>1</v>
      </c>
      <c r="AZ368" s="2"/>
      <c r="BA368" s="2"/>
      <c r="BB368" s="2"/>
      <c r="BC368" s="2"/>
      <c r="BD368" s="4" t="s">
        <v>1366</v>
      </c>
    </row>
    <row r="369" customFormat="false" ht="15" hidden="false" customHeight="false" outlineLevel="0" collapsed="false">
      <c r="A369" s="2" t="n">
        <v>1190745</v>
      </c>
      <c r="B369" s="2" t="s">
        <v>1367</v>
      </c>
      <c r="C369" s="2" t="s">
        <v>1358</v>
      </c>
      <c r="D369" s="2" t="s">
        <v>341</v>
      </c>
      <c r="E369" s="2" t="s">
        <v>59</v>
      </c>
      <c r="F369" s="2" t="s">
        <v>70</v>
      </c>
      <c r="G369" s="2" t="s">
        <v>75</v>
      </c>
      <c r="H369" s="2" t="s">
        <v>756</v>
      </c>
      <c r="I369" s="2" t="n">
        <v>32</v>
      </c>
      <c r="J369" s="2" t="n">
        <v>24</v>
      </c>
      <c r="K369" s="2" t="s">
        <v>1368</v>
      </c>
      <c r="L369" s="2" t="s">
        <v>67</v>
      </c>
      <c r="M369" s="2" t="n">
        <v>185</v>
      </c>
      <c r="N369" s="3" t="n">
        <v>154509</v>
      </c>
      <c r="O369" s="2"/>
      <c r="P369" s="2" t="n">
        <v>25</v>
      </c>
      <c r="Q369" s="3" t="n">
        <v>2010</v>
      </c>
      <c r="R369" s="2" t="n">
        <v>6.38</v>
      </c>
      <c r="S369" s="2" t="n">
        <v>0</v>
      </c>
      <c r="T369" s="2" t="n">
        <v>1</v>
      </c>
      <c r="U369" s="2" t="n">
        <v>0</v>
      </c>
      <c r="V369" s="2"/>
      <c r="W369" s="2"/>
      <c r="X369" s="2" t="n">
        <v>0.04</v>
      </c>
      <c r="Y369" s="2" t="n">
        <v>0.3</v>
      </c>
      <c r="Z369" s="2" t="n">
        <v>0</v>
      </c>
      <c r="AA369" s="2" t="n">
        <v>14.3</v>
      </c>
      <c r="AB369" s="2" t="n">
        <v>1</v>
      </c>
      <c r="AC369" s="2" t="n">
        <v>7</v>
      </c>
      <c r="AD369" s="2" t="n">
        <v>0.3</v>
      </c>
      <c r="AE369" s="2" t="n">
        <v>1</v>
      </c>
      <c r="AF369" s="2" t="n">
        <v>47.5</v>
      </c>
      <c r="AG369" s="2" t="n">
        <v>86</v>
      </c>
      <c r="AH369" s="2" t="n">
        <v>3</v>
      </c>
      <c r="AI369" s="2" t="n">
        <v>35.1</v>
      </c>
      <c r="AJ369" s="2" t="n">
        <v>0.4</v>
      </c>
      <c r="AK369" s="2" t="n">
        <v>83.3</v>
      </c>
      <c r="AL369" s="2"/>
      <c r="AM369" s="2"/>
      <c r="AN369" s="2" t="n">
        <v>7.6</v>
      </c>
      <c r="AO369" s="2" t="n">
        <v>1.1</v>
      </c>
      <c r="AP369" s="2" t="n">
        <v>1.6</v>
      </c>
      <c r="AQ369" s="2" t="n">
        <v>4.2</v>
      </c>
      <c r="AR369" s="2" t="n">
        <v>0.7</v>
      </c>
      <c r="AS369" s="2" t="n">
        <v>2.8</v>
      </c>
      <c r="AT369" s="2" t="n">
        <v>0</v>
      </c>
      <c r="AU369" s="2" t="n">
        <v>1.1</v>
      </c>
      <c r="AV369" s="2" t="n">
        <v>1.7</v>
      </c>
      <c r="AW369" s="2" t="n">
        <v>8</v>
      </c>
      <c r="AX369" s="2"/>
      <c r="AY369" s="2"/>
      <c r="AZ369" s="2"/>
      <c r="BA369" s="2"/>
      <c r="BB369" s="2"/>
      <c r="BC369" s="2"/>
      <c r="BD369" s="4" t="s">
        <v>1369</v>
      </c>
    </row>
    <row r="370" customFormat="false" ht="15" hidden="false" customHeight="false" outlineLevel="0" collapsed="false">
      <c r="A370" s="2" t="n">
        <v>1626139</v>
      </c>
      <c r="B370" s="2" t="s">
        <v>1370</v>
      </c>
      <c r="C370" s="2" t="s">
        <v>1358</v>
      </c>
      <c r="D370" s="2" t="s">
        <v>341</v>
      </c>
      <c r="E370" s="2" t="s">
        <v>59</v>
      </c>
      <c r="F370" s="2" t="s">
        <v>70</v>
      </c>
      <c r="G370" s="2" t="s">
        <v>92</v>
      </c>
      <c r="H370" s="2" t="s">
        <v>1371</v>
      </c>
      <c r="I370" s="2" t="n">
        <v>22</v>
      </c>
      <c r="J370" s="2" t="n">
        <v>24</v>
      </c>
      <c r="K370" s="2" t="s">
        <v>1372</v>
      </c>
      <c r="L370" s="2" t="s">
        <v>67</v>
      </c>
      <c r="M370" s="2" t="n">
        <v>165</v>
      </c>
      <c r="N370" s="3" t="n">
        <v>170720</v>
      </c>
      <c r="O370" s="2"/>
      <c r="P370" s="2" t="n">
        <v>23</v>
      </c>
      <c r="Q370" s="3" t="n">
        <v>1604</v>
      </c>
      <c r="R370" s="2" t="n">
        <v>6.43</v>
      </c>
      <c r="S370" s="2" t="n">
        <v>0</v>
      </c>
      <c r="T370" s="2" t="n">
        <v>1</v>
      </c>
      <c r="U370" s="2" t="n">
        <v>0</v>
      </c>
      <c r="V370" s="2"/>
      <c r="W370" s="2"/>
      <c r="X370" s="2" t="n">
        <v>0.06</v>
      </c>
      <c r="Y370" s="2" t="n">
        <v>0.6</v>
      </c>
      <c r="Z370" s="2" t="n">
        <v>0.3</v>
      </c>
      <c r="AA370" s="2" t="n">
        <v>9.1</v>
      </c>
      <c r="AB370" s="2" t="n">
        <v>1</v>
      </c>
      <c r="AC370" s="2" t="n">
        <v>9</v>
      </c>
      <c r="AD370" s="2" t="n">
        <v>0.5</v>
      </c>
      <c r="AE370" s="2"/>
      <c r="AF370" s="2" t="n">
        <v>24.8</v>
      </c>
      <c r="AG370" s="2" t="n">
        <v>77.8</v>
      </c>
      <c r="AH370" s="2" t="n">
        <v>1.9</v>
      </c>
      <c r="AI370" s="2" t="n">
        <v>38.2</v>
      </c>
      <c r="AJ370" s="2" t="n">
        <v>0.2</v>
      </c>
      <c r="AK370" s="2" t="n">
        <v>37.5</v>
      </c>
      <c r="AL370" s="2"/>
      <c r="AM370" s="2"/>
      <c r="AN370" s="2" t="n">
        <v>4.7</v>
      </c>
      <c r="AO370" s="2" t="n">
        <v>1.5</v>
      </c>
      <c r="AP370" s="2" t="n">
        <v>0.6</v>
      </c>
      <c r="AQ370" s="2" t="n">
        <v>2.2</v>
      </c>
      <c r="AR370" s="2" t="n">
        <v>0.4</v>
      </c>
      <c r="AS370" s="2" t="n">
        <v>2.7</v>
      </c>
      <c r="AT370" s="2" t="n">
        <v>0.2</v>
      </c>
      <c r="AU370" s="2" t="n">
        <v>1</v>
      </c>
      <c r="AV370" s="2" t="n">
        <v>1.6</v>
      </c>
      <c r="AW370" s="2" t="n">
        <v>8</v>
      </c>
      <c r="AX370" s="2"/>
      <c r="AY370" s="2"/>
      <c r="AZ370" s="2"/>
      <c r="BA370" s="2"/>
      <c r="BB370" s="2"/>
      <c r="BC370" s="2"/>
      <c r="BD370" s="4" t="s">
        <v>1373</v>
      </c>
    </row>
    <row r="371" customFormat="false" ht="15" hidden="false" customHeight="false" outlineLevel="0" collapsed="false">
      <c r="A371" s="2" t="n">
        <v>1682712</v>
      </c>
      <c r="B371" s="2" t="s">
        <v>1374</v>
      </c>
      <c r="C371" s="2" t="s">
        <v>1358</v>
      </c>
      <c r="D371" s="2" t="s">
        <v>341</v>
      </c>
      <c r="E371" s="2" t="s">
        <v>59</v>
      </c>
      <c r="F371" s="2" t="s">
        <v>70</v>
      </c>
      <c r="G371" s="2" t="s">
        <v>75</v>
      </c>
      <c r="H371" s="2" t="s">
        <v>75</v>
      </c>
      <c r="I371" s="2" t="n">
        <v>25</v>
      </c>
      <c r="J371" s="2" t="n">
        <v>22</v>
      </c>
      <c r="K371" s="2" t="s">
        <v>1375</v>
      </c>
      <c r="L371" s="2" t="s">
        <v>116</v>
      </c>
      <c r="M371" s="2" t="n">
        <v>193</v>
      </c>
      <c r="N371" s="3" t="n">
        <v>151688</v>
      </c>
      <c r="O371" s="2"/>
      <c r="P371" s="2" t="n">
        <v>21</v>
      </c>
      <c r="Q371" s="3" t="n">
        <v>1517</v>
      </c>
      <c r="R371" s="2" t="n">
        <v>6.24</v>
      </c>
      <c r="S371" s="2" t="n">
        <v>0</v>
      </c>
      <c r="T371" s="2"/>
      <c r="U371" s="2"/>
      <c r="V371" s="2"/>
      <c r="W371" s="2"/>
      <c r="X371" s="2"/>
      <c r="Y371" s="2" t="n">
        <v>0.3</v>
      </c>
      <c r="Z371" s="2"/>
      <c r="AA371" s="2" t="n">
        <v>0</v>
      </c>
      <c r="AB371" s="2" t="n">
        <v>1</v>
      </c>
      <c r="AC371" s="2"/>
      <c r="AD371" s="2"/>
      <c r="AE371" s="2"/>
      <c r="AF371" s="2" t="n">
        <v>41.2</v>
      </c>
      <c r="AG371" s="2" t="n">
        <v>83.5</v>
      </c>
      <c r="AH371" s="2" t="n">
        <v>2.7</v>
      </c>
      <c r="AI371" s="2" t="n">
        <v>41.1</v>
      </c>
      <c r="AJ371" s="2" t="n">
        <v>0.2</v>
      </c>
      <c r="AK371" s="2" t="n">
        <v>37.5</v>
      </c>
      <c r="AL371" s="2"/>
      <c r="AM371" s="2"/>
      <c r="AN371" s="2" t="n">
        <v>8.1</v>
      </c>
      <c r="AO371" s="2" t="n">
        <v>1.1</v>
      </c>
      <c r="AP371" s="2" t="n">
        <v>1.3</v>
      </c>
      <c r="AQ371" s="2" t="n">
        <v>4.9</v>
      </c>
      <c r="AR371" s="2" t="n">
        <v>0.8</v>
      </c>
      <c r="AS371" s="2" t="n">
        <v>2.4</v>
      </c>
      <c r="AT371" s="2" t="n">
        <v>0.1</v>
      </c>
      <c r="AU371" s="2" t="n">
        <v>1.1</v>
      </c>
      <c r="AV371" s="2" t="n">
        <v>1.9</v>
      </c>
      <c r="AW371" s="2" t="n">
        <v>5</v>
      </c>
      <c r="AX371" s="2" t="n">
        <v>1</v>
      </c>
      <c r="AY371" s="2"/>
      <c r="AZ371" s="2"/>
      <c r="BA371" s="2"/>
      <c r="BB371" s="2"/>
      <c r="BC371" s="2"/>
      <c r="BD371" s="4" t="s">
        <v>1376</v>
      </c>
    </row>
    <row r="372" customFormat="false" ht="15" hidden="false" customHeight="false" outlineLevel="0" collapsed="false">
      <c r="A372" s="2" t="n">
        <v>1159160</v>
      </c>
      <c r="B372" s="2" t="s">
        <v>1377</v>
      </c>
      <c r="C372" s="2" t="s">
        <v>1358</v>
      </c>
      <c r="D372" s="2" t="s">
        <v>341</v>
      </c>
      <c r="E372" s="2" t="s">
        <v>59</v>
      </c>
      <c r="F372" s="2" t="s">
        <v>70</v>
      </c>
      <c r="G372" s="2" t="s">
        <v>75</v>
      </c>
      <c r="H372" s="2" t="s">
        <v>75</v>
      </c>
      <c r="I372" s="2" t="n">
        <v>5</v>
      </c>
      <c r="J372" s="2" t="n">
        <v>24</v>
      </c>
      <c r="K372" s="2" t="s">
        <v>1378</v>
      </c>
      <c r="L372" s="2" t="s">
        <v>1379</v>
      </c>
      <c r="M372" s="2" t="n">
        <v>188</v>
      </c>
      <c r="N372" s="3" t="n">
        <v>116095</v>
      </c>
      <c r="O372" s="2"/>
      <c r="P372" s="2" t="n">
        <v>16</v>
      </c>
      <c r="Q372" s="3" t="n">
        <v>1378</v>
      </c>
      <c r="R372" s="2" t="n">
        <v>6.6</v>
      </c>
      <c r="S372" s="2" t="n">
        <v>0</v>
      </c>
      <c r="T372" s="2"/>
      <c r="U372" s="2"/>
      <c r="V372" s="2" t="n">
        <v>1</v>
      </c>
      <c r="W372" s="2"/>
      <c r="X372" s="2"/>
      <c r="Y372" s="2" t="n">
        <v>0.3</v>
      </c>
      <c r="Z372" s="2" t="n">
        <v>0.1</v>
      </c>
      <c r="AA372" s="2" t="n">
        <v>0</v>
      </c>
      <c r="AB372" s="2"/>
      <c r="AC372" s="2" t="n">
        <v>2</v>
      </c>
      <c r="AD372" s="2" t="n">
        <v>0.1</v>
      </c>
      <c r="AE372" s="2" t="n">
        <v>1</v>
      </c>
      <c r="AF372" s="2" t="n">
        <v>44.3</v>
      </c>
      <c r="AG372" s="2" t="n">
        <v>84.1</v>
      </c>
      <c r="AH372" s="2" t="n">
        <v>2.9</v>
      </c>
      <c r="AI372" s="2" t="n">
        <v>40.2</v>
      </c>
      <c r="AJ372" s="2" t="n">
        <v>0.1</v>
      </c>
      <c r="AK372" s="2" t="n">
        <v>33.3</v>
      </c>
      <c r="AL372" s="2"/>
      <c r="AM372" s="2"/>
      <c r="AN372" s="2" t="n">
        <v>8</v>
      </c>
      <c r="AO372" s="2" t="n">
        <v>0.8</v>
      </c>
      <c r="AP372" s="2" t="n">
        <v>1.2</v>
      </c>
      <c r="AQ372" s="2" t="n">
        <v>5.6</v>
      </c>
      <c r="AR372" s="2" t="n">
        <v>0.5</v>
      </c>
      <c r="AS372" s="2" t="n">
        <v>3</v>
      </c>
      <c r="AT372" s="2" t="n">
        <v>0.1</v>
      </c>
      <c r="AU372" s="2" t="n">
        <v>0.9</v>
      </c>
      <c r="AV372" s="2" t="n">
        <v>1.2</v>
      </c>
      <c r="AW372" s="2" t="n">
        <v>2</v>
      </c>
      <c r="AX372" s="2"/>
      <c r="AY372" s="2"/>
      <c r="AZ372" s="2"/>
      <c r="BA372" s="2"/>
      <c r="BB372" s="2"/>
      <c r="BC372" s="2"/>
      <c r="BD372" s="4" t="s">
        <v>1380</v>
      </c>
    </row>
    <row r="373" customFormat="false" ht="15" hidden="false" customHeight="false" outlineLevel="0" collapsed="false">
      <c r="A373" s="2" t="n">
        <v>1372216</v>
      </c>
      <c r="B373" s="2" t="s">
        <v>1381</v>
      </c>
      <c r="C373" s="2" t="s">
        <v>1358</v>
      </c>
      <c r="D373" s="2" t="s">
        <v>341</v>
      </c>
      <c r="E373" s="2" t="s">
        <v>59</v>
      </c>
      <c r="F373" s="2" t="s">
        <v>70</v>
      </c>
      <c r="G373" s="2" t="s">
        <v>71</v>
      </c>
      <c r="H373" s="2" t="s">
        <v>1382</v>
      </c>
      <c r="I373" s="2" t="n">
        <v>3</v>
      </c>
      <c r="J373" s="2" t="n">
        <v>25</v>
      </c>
      <c r="K373" s="2" t="s">
        <v>168</v>
      </c>
      <c r="L373" s="2" t="s">
        <v>67</v>
      </c>
      <c r="M373" s="2" t="n">
        <v>175</v>
      </c>
      <c r="N373" s="3" t="n">
        <v>130473</v>
      </c>
      <c r="O373" s="2"/>
      <c r="P373" s="2" t="n">
        <v>18</v>
      </c>
      <c r="Q373" s="3" t="n">
        <v>841</v>
      </c>
      <c r="R373" s="2"/>
      <c r="S373" s="2"/>
      <c r="T373" s="2"/>
      <c r="U373" s="2"/>
      <c r="V373" s="2"/>
      <c r="W373" s="2"/>
      <c r="X373" s="2"/>
      <c r="Y373" s="2" t="n">
        <v>0.3</v>
      </c>
      <c r="Z373" s="2" t="n">
        <v>0.1</v>
      </c>
      <c r="AA373" s="2" t="n">
        <v>0</v>
      </c>
      <c r="AB373" s="2"/>
      <c r="AC373" s="2" t="n">
        <v>10</v>
      </c>
      <c r="AD373" s="2" t="n">
        <v>1.1</v>
      </c>
      <c r="AE373" s="2" t="n">
        <v>1</v>
      </c>
      <c r="AF373" s="2" t="n">
        <v>24.8</v>
      </c>
      <c r="AG373" s="2" t="n">
        <v>76.1</v>
      </c>
      <c r="AH373" s="2" t="n">
        <v>1.1</v>
      </c>
      <c r="AI373" s="2" t="n">
        <v>22.2</v>
      </c>
      <c r="AJ373" s="2" t="n">
        <v>0.5</v>
      </c>
      <c r="AK373" s="2" t="n">
        <v>55.6</v>
      </c>
      <c r="AL373" s="2"/>
      <c r="AM373" s="2"/>
      <c r="AN373" s="2" t="n">
        <v>4.1</v>
      </c>
      <c r="AO373" s="2" t="n">
        <v>1</v>
      </c>
      <c r="AP373" s="2" t="n">
        <v>0.4</v>
      </c>
      <c r="AQ373" s="2" t="n">
        <v>2.5</v>
      </c>
      <c r="AR373" s="2" t="n">
        <v>0.2</v>
      </c>
      <c r="AS373" s="2" t="n">
        <v>2.1</v>
      </c>
      <c r="AT373" s="2" t="n">
        <v>0.2</v>
      </c>
      <c r="AU373" s="2" t="n">
        <v>1.1</v>
      </c>
      <c r="AV373" s="2" t="n">
        <v>0.9</v>
      </c>
      <c r="AW373" s="2"/>
      <c r="AX373" s="2"/>
      <c r="AY373" s="2"/>
      <c r="AZ373" s="2"/>
      <c r="BA373" s="2"/>
      <c r="BB373" s="2"/>
      <c r="BC373" s="2"/>
      <c r="BD373" s="4" t="s">
        <v>1383</v>
      </c>
    </row>
    <row r="374" customFormat="false" ht="15" hidden="false" customHeight="false" outlineLevel="0" collapsed="false">
      <c r="A374" s="2" t="n">
        <v>1079865</v>
      </c>
      <c r="B374" s="2" t="s">
        <v>1384</v>
      </c>
      <c r="C374" s="2" t="s">
        <v>1358</v>
      </c>
      <c r="D374" s="2" t="s">
        <v>341</v>
      </c>
      <c r="E374" s="2" t="s">
        <v>59</v>
      </c>
      <c r="F374" s="2" t="s">
        <v>70</v>
      </c>
      <c r="G374" s="2" t="s">
        <v>92</v>
      </c>
      <c r="H374" s="2" t="s">
        <v>92</v>
      </c>
      <c r="I374" s="2" t="n">
        <v>6</v>
      </c>
      <c r="J374" s="2" t="n">
        <v>28</v>
      </c>
      <c r="K374" s="2" t="s">
        <v>1385</v>
      </c>
      <c r="L374" s="2" t="s">
        <v>1386</v>
      </c>
      <c r="M374" s="2" t="n">
        <v>175</v>
      </c>
      <c r="N374" s="3" t="n">
        <v>50000</v>
      </c>
      <c r="O374" s="2"/>
      <c r="P374" s="2" t="n">
        <v>11</v>
      </c>
      <c r="Q374" s="3" t="n">
        <v>772</v>
      </c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 t="n">
        <v>2</v>
      </c>
      <c r="AD374" s="2" t="n">
        <v>0.2</v>
      </c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 t="n">
        <v>1</v>
      </c>
      <c r="AX374" s="2"/>
      <c r="AY374" s="2"/>
      <c r="AZ374" s="2"/>
      <c r="BA374" s="2"/>
      <c r="BB374" s="2"/>
      <c r="BC374" s="2"/>
      <c r="BD374" s="4" t="s">
        <v>1387</v>
      </c>
    </row>
    <row r="375" customFormat="false" ht="15" hidden="false" customHeight="false" outlineLevel="0" collapsed="false">
      <c r="A375" s="2" t="n">
        <v>1780532</v>
      </c>
      <c r="B375" s="2" t="s">
        <v>1388</v>
      </c>
      <c r="C375" s="2" t="s">
        <v>1358</v>
      </c>
      <c r="D375" s="2" t="s">
        <v>341</v>
      </c>
      <c r="E375" s="2" t="s">
        <v>59</v>
      </c>
      <c r="F375" s="2" t="s">
        <v>70</v>
      </c>
      <c r="G375" s="2" t="s">
        <v>75</v>
      </c>
      <c r="H375" s="2" t="s">
        <v>352</v>
      </c>
      <c r="I375" s="2" t="n">
        <v>47</v>
      </c>
      <c r="J375" s="2" t="n">
        <v>22</v>
      </c>
      <c r="K375" s="2" t="s">
        <v>1389</v>
      </c>
      <c r="L375" s="2" t="s">
        <v>67</v>
      </c>
      <c r="M375" s="2" t="n">
        <v>178</v>
      </c>
      <c r="N375" s="3"/>
      <c r="O375" s="2"/>
      <c r="P375" s="2" t="n">
        <v>11</v>
      </c>
      <c r="Q375" s="3" t="n">
        <v>557</v>
      </c>
      <c r="R375" s="2"/>
      <c r="S375" s="2"/>
      <c r="T375" s="2"/>
      <c r="U375" s="2"/>
      <c r="V375" s="2" t="n">
        <v>1</v>
      </c>
      <c r="W375" s="2"/>
      <c r="X375" s="2"/>
      <c r="Y375" s="2"/>
      <c r="Z375" s="2"/>
      <c r="AA375" s="2"/>
      <c r="AB375" s="2"/>
      <c r="AC375" s="2" t="n">
        <v>5</v>
      </c>
      <c r="AD375" s="2" t="n">
        <v>0.8</v>
      </c>
      <c r="AE375" s="2" t="n">
        <v>1</v>
      </c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 t="n">
        <v>4</v>
      </c>
      <c r="AX375" s="2"/>
      <c r="AY375" s="2"/>
      <c r="AZ375" s="2"/>
      <c r="BA375" s="2"/>
      <c r="BB375" s="2"/>
      <c r="BC375" s="2"/>
      <c r="BD375" s="4" t="s">
        <v>1390</v>
      </c>
    </row>
    <row r="376" customFormat="false" ht="15" hidden="false" customHeight="false" outlineLevel="0" collapsed="false">
      <c r="A376" s="2" t="n">
        <v>1897440</v>
      </c>
      <c r="B376" s="2" t="s">
        <v>1391</v>
      </c>
      <c r="C376" s="2" t="s">
        <v>1358</v>
      </c>
      <c r="D376" s="2" t="s">
        <v>341</v>
      </c>
      <c r="E376" s="2" t="s">
        <v>59</v>
      </c>
      <c r="F376" s="2" t="s">
        <v>70</v>
      </c>
      <c r="G376" s="2" t="s">
        <v>75</v>
      </c>
      <c r="H376" s="2" t="s">
        <v>75</v>
      </c>
      <c r="I376" s="2" t="n">
        <v>2</v>
      </c>
      <c r="J376" s="2" t="n">
        <v>25</v>
      </c>
      <c r="K376" s="2" t="s">
        <v>1392</v>
      </c>
      <c r="L376" s="2" t="s">
        <v>67</v>
      </c>
      <c r="M376" s="2" t="n">
        <v>188</v>
      </c>
      <c r="N376" s="3"/>
      <c r="O376" s="2"/>
      <c r="P376" s="2" t="n">
        <v>2</v>
      </c>
      <c r="Q376" s="3" t="n">
        <v>73</v>
      </c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4" t="s">
        <v>1393</v>
      </c>
    </row>
    <row r="377" customFormat="false" ht="15" hidden="false" customHeight="false" outlineLevel="0" collapsed="false">
      <c r="A377" s="2" t="n">
        <v>1921665</v>
      </c>
      <c r="B377" s="2" t="s">
        <v>1394</v>
      </c>
      <c r="C377" s="2" t="s">
        <v>1358</v>
      </c>
      <c r="D377" s="2" t="s">
        <v>341</v>
      </c>
      <c r="E377" s="2" t="s">
        <v>59</v>
      </c>
      <c r="F377" s="2" t="s">
        <v>70</v>
      </c>
      <c r="G377" s="2"/>
      <c r="H377" s="2"/>
      <c r="I377" s="2" t="n">
        <v>28</v>
      </c>
      <c r="J377" s="2" t="n">
        <v>17</v>
      </c>
      <c r="K377" s="2" t="s">
        <v>1395</v>
      </c>
      <c r="L377" s="2" t="s">
        <v>67</v>
      </c>
      <c r="M377" s="2" t="n">
        <v>180</v>
      </c>
      <c r="N377" s="3"/>
      <c r="O377" s="2"/>
      <c r="P377" s="2"/>
      <c r="Q377" s="3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4" t="s">
        <v>1396</v>
      </c>
    </row>
    <row r="378" customFormat="false" ht="15" hidden="false" customHeight="false" outlineLevel="0" collapsed="false">
      <c r="A378" s="2" t="n">
        <v>2009302</v>
      </c>
      <c r="B378" s="2" t="s">
        <v>1397</v>
      </c>
      <c r="C378" s="2" t="s">
        <v>1358</v>
      </c>
      <c r="D378" s="2" t="s">
        <v>341</v>
      </c>
      <c r="E378" s="2" t="s">
        <v>59</v>
      </c>
      <c r="F378" s="2" t="s">
        <v>70</v>
      </c>
      <c r="G378" s="2"/>
      <c r="H378" s="2"/>
      <c r="I378" s="2" t="n">
        <v>33</v>
      </c>
      <c r="J378" s="2" t="n">
        <v>18</v>
      </c>
      <c r="K378" s="2" t="s">
        <v>1398</v>
      </c>
      <c r="L378" s="2" t="s">
        <v>67</v>
      </c>
      <c r="M378" s="2" t="n">
        <v>170</v>
      </c>
      <c r="N378" s="3"/>
      <c r="O378" s="2"/>
      <c r="P378" s="2"/>
      <c r="Q378" s="3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4" t="s">
        <v>1399</v>
      </c>
    </row>
    <row r="379" customFormat="false" ht="15" hidden="false" customHeight="false" outlineLevel="0" collapsed="false">
      <c r="A379" s="2" t="n">
        <v>1358343</v>
      </c>
      <c r="B379" s="2" t="s">
        <v>1400</v>
      </c>
      <c r="C379" s="2" t="s">
        <v>1358</v>
      </c>
      <c r="D379" s="2" t="s">
        <v>341</v>
      </c>
      <c r="E379" s="2" t="s">
        <v>59</v>
      </c>
      <c r="F379" s="2" t="s">
        <v>102</v>
      </c>
      <c r="G379" s="2" t="s">
        <v>103</v>
      </c>
      <c r="H379" s="2" t="s">
        <v>123</v>
      </c>
      <c r="I379" s="2" t="n">
        <v>14</v>
      </c>
      <c r="J379" s="2" t="n">
        <v>25</v>
      </c>
      <c r="K379" s="2" t="s">
        <v>1401</v>
      </c>
      <c r="L379" s="2" t="s">
        <v>198</v>
      </c>
      <c r="M379" s="2" t="n">
        <v>186</v>
      </c>
      <c r="N379" s="3" t="n">
        <v>125582</v>
      </c>
      <c r="O379" s="2"/>
      <c r="P379" s="2" t="n">
        <v>25</v>
      </c>
      <c r="Q379" s="3" t="n">
        <v>1870</v>
      </c>
      <c r="R379" s="2" t="n">
        <v>6.48</v>
      </c>
      <c r="S379" s="2" t="n">
        <v>1</v>
      </c>
      <c r="T379" s="2" t="n">
        <v>2</v>
      </c>
      <c r="U379" s="2" t="n">
        <v>0</v>
      </c>
      <c r="V379" s="2"/>
      <c r="W379" s="2"/>
      <c r="X379" s="2" t="n">
        <v>0.1</v>
      </c>
      <c r="Y379" s="2" t="n">
        <v>0.5</v>
      </c>
      <c r="Z379" s="2" t="n">
        <v>0.1</v>
      </c>
      <c r="AA379" s="2" t="n">
        <v>20</v>
      </c>
      <c r="AB379" s="2"/>
      <c r="AC379" s="2" t="n">
        <v>13</v>
      </c>
      <c r="AD379" s="2" t="n">
        <v>0.6</v>
      </c>
      <c r="AE379" s="2" t="n">
        <v>1</v>
      </c>
      <c r="AF379" s="2" t="n">
        <v>40.9</v>
      </c>
      <c r="AG379" s="2" t="n">
        <v>82.4</v>
      </c>
      <c r="AH379" s="2" t="n">
        <v>2.3</v>
      </c>
      <c r="AI379" s="2" t="n">
        <v>43.5</v>
      </c>
      <c r="AJ379" s="2" t="n">
        <v>0.1</v>
      </c>
      <c r="AK379" s="2" t="n">
        <v>20</v>
      </c>
      <c r="AL379" s="2"/>
      <c r="AM379" s="2"/>
      <c r="AN379" s="2" t="n">
        <v>5.2</v>
      </c>
      <c r="AO379" s="2" t="n">
        <v>1.3</v>
      </c>
      <c r="AP379" s="2" t="n">
        <v>1.1</v>
      </c>
      <c r="AQ379" s="2" t="n">
        <v>2.5</v>
      </c>
      <c r="AR379" s="2" t="n">
        <v>0.4</v>
      </c>
      <c r="AS379" s="2" t="n">
        <v>4</v>
      </c>
      <c r="AT379" s="2" t="n">
        <v>0.4</v>
      </c>
      <c r="AU379" s="2" t="n">
        <v>2</v>
      </c>
      <c r="AV379" s="2" t="n">
        <v>1.9</v>
      </c>
      <c r="AW379" s="2" t="n">
        <v>3</v>
      </c>
      <c r="AX379" s="2"/>
      <c r="AY379" s="2" t="n">
        <v>1</v>
      </c>
      <c r="AZ379" s="2"/>
      <c r="BA379" s="2"/>
      <c r="BB379" s="2"/>
      <c r="BC379" s="2"/>
      <c r="BD379" s="4" t="s">
        <v>1402</v>
      </c>
    </row>
    <row r="380" customFormat="false" ht="15" hidden="false" customHeight="false" outlineLevel="0" collapsed="false">
      <c r="A380" s="2" t="n">
        <v>181255</v>
      </c>
      <c r="B380" s="2" t="s">
        <v>1403</v>
      </c>
      <c r="C380" s="2" t="s">
        <v>1358</v>
      </c>
      <c r="D380" s="2" t="s">
        <v>341</v>
      </c>
      <c r="E380" s="2" t="s">
        <v>59</v>
      </c>
      <c r="F380" s="2" t="s">
        <v>102</v>
      </c>
      <c r="G380" s="2" t="s">
        <v>103</v>
      </c>
      <c r="H380" s="2" t="s">
        <v>123</v>
      </c>
      <c r="I380" s="2" t="n">
        <v>4</v>
      </c>
      <c r="J380" s="2" t="n">
        <v>34</v>
      </c>
      <c r="K380" s="2" t="s">
        <v>1404</v>
      </c>
      <c r="L380" s="2" t="s">
        <v>679</v>
      </c>
      <c r="M380" s="2" t="n">
        <v>175</v>
      </c>
      <c r="N380" s="3" t="n">
        <v>72000</v>
      </c>
      <c r="O380" s="2"/>
      <c r="P380" s="2" t="n">
        <v>24</v>
      </c>
      <c r="Q380" s="3" t="n">
        <v>1838</v>
      </c>
      <c r="R380" s="2" t="n">
        <v>6.56</v>
      </c>
      <c r="S380" s="2" t="n">
        <v>0</v>
      </c>
      <c r="T380" s="2"/>
      <c r="U380" s="2"/>
      <c r="V380" s="2"/>
      <c r="W380" s="2"/>
      <c r="X380" s="2"/>
      <c r="Y380" s="2" t="n">
        <v>0.3</v>
      </c>
      <c r="Z380" s="2" t="n">
        <v>0</v>
      </c>
      <c r="AA380" s="2" t="n">
        <v>0</v>
      </c>
      <c r="AB380" s="2" t="n">
        <v>2</v>
      </c>
      <c r="AC380" s="2" t="n">
        <v>10</v>
      </c>
      <c r="AD380" s="2" t="n">
        <v>0.5</v>
      </c>
      <c r="AE380" s="2"/>
      <c r="AF380" s="2" t="n">
        <v>39.9</v>
      </c>
      <c r="AG380" s="2" t="n">
        <v>86.8</v>
      </c>
      <c r="AH380" s="2" t="n">
        <v>2.4</v>
      </c>
      <c r="AI380" s="2" t="n">
        <v>46.2</v>
      </c>
      <c r="AJ380" s="2" t="n">
        <v>0.1</v>
      </c>
      <c r="AK380" s="2" t="n">
        <v>50</v>
      </c>
      <c r="AL380" s="2"/>
      <c r="AM380" s="2"/>
      <c r="AN380" s="2" t="n">
        <v>4.5</v>
      </c>
      <c r="AO380" s="2" t="n">
        <v>1.1</v>
      </c>
      <c r="AP380" s="2" t="n">
        <v>1.3</v>
      </c>
      <c r="AQ380" s="2" t="n">
        <v>1.9</v>
      </c>
      <c r="AR380" s="2" t="n">
        <v>0.2</v>
      </c>
      <c r="AS380" s="2" t="n">
        <v>3.9</v>
      </c>
      <c r="AT380" s="2" t="n">
        <v>0.6</v>
      </c>
      <c r="AU380" s="2" t="n">
        <v>2</v>
      </c>
      <c r="AV380" s="2" t="n">
        <v>1.1</v>
      </c>
      <c r="AW380" s="2" t="n">
        <v>3</v>
      </c>
      <c r="AX380" s="2"/>
      <c r="AY380" s="2"/>
      <c r="AZ380" s="2"/>
      <c r="BA380" s="2"/>
      <c r="BB380" s="2"/>
      <c r="BC380" s="2"/>
      <c r="BD380" s="4" t="s">
        <v>1405</v>
      </c>
    </row>
    <row r="381" customFormat="false" ht="15" hidden="false" customHeight="false" outlineLevel="0" collapsed="false">
      <c r="A381" s="2" t="n">
        <v>411629</v>
      </c>
      <c r="B381" s="2" t="s">
        <v>1406</v>
      </c>
      <c r="C381" s="2" t="s">
        <v>1358</v>
      </c>
      <c r="D381" s="2" t="s">
        <v>341</v>
      </c>
      <c r="E381" s="2" t="s">
        <v>59</v>
      </c>
      <c r="F381" s="2" t="s">
        <v>102</v>
      </c>
      <c r="G381" s="2" t="s">
        <v>113</v>
      </c>
      <c r="H381" s="2" t="s">
        <v>1407</v>
      </c>
      <c r="I381" s="2" t="n">
        <v>88</v>
      </c>
      <c r="J381" s="2" t="n">
        <v>34</v>
      </c>
      <c r="K381" s="2" t="s">
        <v>1408</v>
      </c>
      <c r="L381" s="2" t="s">
        <v>67</v>
      </c>
      <c r="M381" s="2" t="n">
        <v>178</v>
      </c>
      <c r="N381" s="3" t="n">
        <v>50000</v>
      </c>
      <c r="O381" s="2"/>
      <c r="P381" s="2" t="n">
        <v>24</v>
      </c>
      <c r="Q381" s="3" t="n">
        <v>1790</v>
      </c>
      <c r="R381" s="2" t="n">
        <v>7.08</v>
      </c>
      <c r="S381" s="2" t="n">
        <v>0</v>
      </c>
      <c r="T381" s="2" t="n">
        <v>4</v>
      </c>
      <c r="U381" s="2" t="n">
        <v>0</v>
      </c>
      <c r="V381" s="2" t="n">
        <v>2</v>
      </c>
      <c r="W381" s="2"/>
      <c r="X381" s="2" t="n">
        <v>0.2</v>
      </c>
      <c r="Y381" s="2" t="n">
        <v>0.9</v>
      </c>
      <c r="Z381" s="2" t="n">
        <v>0.6</v>
      </c>
      <c r="AA381" s="2" t="n">
        <v>22.2</v>
      </c>
      <c r="AB381" s="2" t="n">
        <v>2</v>
      </c>
      <c r="AC381" s="2" t="n">
        <v>45</v>
      </c>
      <c r="AD381" s="2" t="n">
        <v>2.3</v>
      </c>
      <c r="AE381" s="2" t="n">
        <v>7</v>
      </c>
      <c r="AF381" s="2" t="n">
        <v>40</v>
      </c>
      <c r="AG381" s="2" t="n">
        <v>87.9</v>
      </c>
      <c r="AH381" s="2" t="n">
        <v>0.9</v>
      </c>
      <c r="AI381" s="2" t="n">
        <v>40.5</v>
      </c>
      <c r="AJ381" s="2" t="n">
        <v>1</v>
      </c>
      <c r="AK381" s="2" t="n">
        <v>54.1</v>
      </c>
      <c r="AL381" s="2"/>
      <c r="AM381" s="2"/>
      <c r="AN381" s="2" t="n">
        <v>2.1</v>
      </c>
      <c r="AO381" s="2" t="n">
        <v>0.9</v>
      </c>
      <c r="AP381" s="2" t="n">
        <v>0.6</v>
      </c>
      <c r="AQ381" s="2" t="n">
        <v>0.5</v>
      </c>
      <c r="AR381" s="2" t="n">
        <v>0.1</v>
      </c>
      <c r="AS381" s="2" t="n">
        <v>4</v>
      </c>
      <c r="AT381" s="2" t="n">
        <v>0.7</v>
      </c>
      <c r="AU381" s="2" t="n">
        <v>2</v>
      </c>
      <c r="AV381" s="2" t="n">
        <v>1.2</v>
      </c>
      <c r="AW381" s="2" t="n">
        <v>1</v>
      </c>
      <c r="AX381" s="2"/>
      <c r="AY381" s="2" t="n">
        <v>1</v>
      </c>
      <c r="AZ381" s="2"/>
      <c r="BA381" s="2"/>
      <c r="BB381" s="2"/>
      <c r="BC381" s="2"/>
      <c r="BD381" s="4" t="s">
        <v>1409</v>
      </c>
    </row>
    <row r="382" customFormat="false" ht="15" hidden="false" customHeight="false" outlineLevel="0" collapsed="false">
      <c r="A382" s="2" t="n">
        <v>1650450</v>
      </c>
      <c r="B382" s="2" t="s">
        <v>1410</v>
      </c>
      <c r="C382" s="2" t="s">
        <v>1358</v>
      </c>
      <c r="D382" s="2" t="s">
        <v>341</v>
      </c>
      <c r="E382" s="2" t="s">
        <v>59</v>
      </c>
      <c r="F382" s="2" t="s">
        <v>102</v>
      </c>
      <c r="G382" s="2" t="s">
        <v>103</v>
      </c>
      <c r="H382" s="2" t="s">
        <v>123</v>
      </c>
      <c r="I382" s="2" t="n">
        <v>18</v>
      </c>
      <c r="J382" s="2" t="n">
        <v>20</v>
      </c>
      <c r="K382" s="2" t="s">
        <v>1411</v>
      </c>
      <c r="L382" s="2" t="s">
        <v>149</v>
      </c>
      <c r="M382" s="2" t="n">
        <v>191</v>
      </c>
      <c r="N382" s="3" t="n">
        <v>118909</v>
      </c>
      <c r="O382" s="2"/>
      <c r="P382" s="2" t="n">
        <v>14</v>
      </c>
      <c r="Q382" s="3" t="n">
        <v>608</v>
      </c>
      <c r="R382" s="2"/>
      <c r="S382" s="2"/>
      <c r="T382" s="2"/>
      <c r="U382" s="2"/>
      <c r="V382" s="2"/>
      <c r="W382" s="2"/>
      <c r="X382" s="2"/>
      <c r="Y382" s="2" t="n">
        <v>0.9</v>
      </c>
      <c r="Z382" s="2"/>
      <c r="AA382" s="2" t="n">
        <v>0</v>
      </c>
      <c r="AB382" s="2"/>
      <c r="AC382" s="2" t="n">
        <v>5</v>
      </c>
      <c r="AD382" s="2" t="n">
        <v>0.7</v>
      </c>
      <c r="AE382" s="2"/>
      <c r="AF382" s="2" t="n">
        <v>31.4</v>
      </c>
      <c r="AG382" s="2" t="n">
        <v>83.8</v>
      </c>
      <c r="AH382" s="2" t="n">
        <v>1.3</v>
      </c>
      <c r="AI382" s="2" t="n">
        <v>40.9</v>
      </c>
      <c r="AJ382" s="2" t="n">
        <v>1</v>
      </c>
      <c r="AK382" s="2" t="n">
        <v>77.8</v>
      </c>
      <c r="AL382" s="2"/>
      <c r="AM382" s="2"/>
      <c r="AN382" s="2" t="n">
        <v>5.5</v>
      </c>
      <c r="AO382" s="2" t="n">
        <v>2.1</v>
      </c>
      <c r="AP382" s="2" t="n">
        <v>1</v>
      </c>
      <c r="AQ382" s="2" t="n">
        <v>1.8</v>
      </c>
      <c r="AR382" s="2" t="n">
        <v>0.6</v>
      </c>
      <c r="AS382" s="2" t="n">
        <v>4.4</v>
      </c>
      <c r="AT382" s="2" t="n">
        <v>0.1</v>
      </c>
      <c r="AU382" s="2" t="n">
        <v>2.5</v>
      </c>
      <c r="AV382" s="2" t="n">
        <v>2.2</v>
      </c>
      <c r="AW382" s="2" t="n">
        <v>2</v>
      </c>
      <c r="AX382" s="2" t="n">
        <v>1</v>
      </c>
      <c r="AY382" s="2"/>
      <c r="AZ382" s="2"/>
      <c r="BA382" s="2"/>
      <c r="BB382" s="2"/>
      <c r="BC382" s="2"/>
      <c r="BD382" s="4" t="s">
        <v>1412</v>
      </c>
    </row>
    <row r="383" customFormat="false" ht="15" hidden="false" customHeight="false" outlineLevel="0" collapsed="false">
      <c r="A383" s="2" t="n">
        <v>1348326</v>
      </c>
      <c r="B383" s="2" t="s">
        <v>1413</v>
      </c>
      <c r="C383" s="2" t="s">
        <v>1358</v>
      </c>
      <c r="D383" s="2" t="s">
        <v>341</v>
      </c>
      <c r="E383" s="2" t="s">
        <v>59</v>
      </c>
      <c r="F383" s="2" t="s">
        <v>102</v>
      </c>
      <c r="G383" s="2" t="s">
        <v>113</v>
      </c>
      <c r="H383" s="2" t="s">
        <v>113</v>
      </c>
      <c r="I383" s="2" t="n">
        <v>23</v>
      </c>
      <c r="J383" s="2" t="n">
        <v>24</v>
      </c>
      <c r="K383" s="2" t="s">
        <v>1414</v>
      </c>
      <c r="L383" s="2" t="s">
        <v>67</v>
      </c>
      <c r="M383" s="2" t="n">
        <v>183</v>
      </c>
      <c r="N383" s="3" t="n">
        <v>157928</v>
      </c>
      <c r="O383" s="2"/>
      <c r="P383" s="2" t="n">
        <v>15</v>
      </c>
      <c r="Q383" s="3" t="n">
        <v>506</v>
      </c>
      <c r="R383" s="2" t="n">
        <v>6.35</v>
      </c>
      <c r="S383" s="2" t="n">
        <v>0</v>
      </c>
      <c r="T383" s="2" t="n">
        <v>1</v>
      </c>
      <c r="U383" s="2" t="n">
        <v>0</v>
      </c>
      <c r="V383" s="2" t="n">
        <v>1</v>
      </c>
      <c r="W383" s="2"/>
      <c r="X383" s="2" t="n">
        <v>0.18</v>
      </c>
      <c r="Y383" s="2" t="n">
        <v>1.4</v>
      </c>
      <c r="Z383" s="2" t="n">
        <v>0.5</v>
      </c>
      <c r="AA383" s="2" t="n">
        <v>12.5</v>
      </c>
      <c r="AB383" s="2"/>
      <c r="AC383" s="2" t="n">
        <v>6</v>
      </c>
      <c r="AD383" s="2" t="n">
        <v>1.1</v>
      </c>
      <c r="AE383" s="2"/>
      <c r="AF383" s="2" t="n">
        <v>20.6</v>
      </c>
      <c r="AG383" s="2" t="n">
        <v>71.6</v>
      </c>
      <c r="AH383" s="2" t="n">
        <v>1.6</v>
      </c>
      <c r="AI383" s="2" t="n">
        <v>27.3</v>
      </c>
      <c r="AJ383" s="2" t="n">
        <v>0.2</v>
      </c>
      <c r="AK383" s="2" t="n">
        <v>33.3</v>
      </c>
      <c r="AL383" s="2"/>
      <c r="AM383" s="2"/>
      <c r="AN383" s="2" t="n">
        <v>2.5</v>
      </c>
      <c r="AO383" s="2" t="n">
        <v>1.2</v>
      </c>
      <c r="AP383" s="2" t="n">
        <v>0.2</v>
      </c>
      <c r="AQ383" s="2" t="n">
        <v>0.9</v>
      </c>
      <c r="AR383" s="2" t="n">
        <v>0.2</v>
      </c>
      <c r="AS383" s="2" t="n">
        <v>2.5</v>
      </c>
      <c r="AT383" s="2"/>
      <c r="AU383" s="2"/>
      <c r="AV383" s="2" t="n">
        <v>2.1</v>
      </c>
      <c r="AW383" s="2" t="n">
        <v>2</v>
      </c>
      <c r="AX383" s="2"/>
      <c r="AY383" s="2"/>
      <c r="AZ383" s="2"/>
      <c r="BA383" s="2"/>
      <c r="BB383" s="2"/>
      <c r="BC383" s="2"/>
      <c r="BD383" s="4" t="s">
        <v>1415</v>
      </c>
    </row>
    <row r="384" customFormat="false" ht="15" hidden="false" customHeight="false" outlineLevel="0" collapsed="false">
      <c r="A384" s="2" t="n">
        <v>1283365</v>
      </c>
      <c r="B384" s="2" t="s">
        <v>1416</v>
      </c>
      <c r="C384" s="2" t="s">
        <v>1358</v>
      </c>
      <c r="D384" s="2" t="s">
        <v>341</v>
      </c>
      <c r="E384" s="2" t="s">
        <v>59</v>
      </c>
      <c r="F384" s="2" t="s">
        <v>102</v>
      </c>
      <c r="G384" s="2" t="s">
        <v>113</v>
      </c>
      <c r="H384" s="2" t="s">
        <v>1417</v>
      </c>
      <c r="I384" s="2" t="n">
        <v>16</v>
      </c>
      <c r="J384" s="2" t="n">
        <v>27</v>
      </c>
      <c r="K384" s="2" t="s">
        <v>1418</v>
      </c>
      <c r="L384" s="2" t="s">
        <v>130</v>
      </c>
      <c r="M384" s="2" t="n">
        <v>180</v>
      </c>
      <c r="N384" s="3" t="n">
        <v>125088</v>
      </c>
      <c r="O384" s="2"/>
      <c r="P384" s="2" t="n">
        <v>6</v>
      </c>
      <c r="Q384" s="3" t="n">
        <v>275</v>
      </c>
      <c r="R384" s="2"/>
      <c r="S384" s="2"/>
      <c r="T384" s="2"/>
      <c r="U384" s="2"/>
      <c r="V384" s="2" t="n">
        <v>1</v>
      </c>
      <c r="W384" s="2"/>
      <c r="X384" s="2"/>
      <c r="Y384" s="2"/>
      <c r="Z384" s="2"/>
      <c r="AA384" s="2"/>
      <c r="AB384" s="2"/>
      <c r="AC384" s="2" t="n">
        <v>4</v>
      </c>
      <c r="AD384" s="2" t="n">
        <v>1.3</v>
      </c>
      <c r="AE384" s="2" t="n">
        <v>1</v>
      </c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4" t="s">
        <v>1419</v>
      </c>
    </row>
    <row r="385" customFormat="false" ht="15" hidden="false" customHeight="false" outlineLevel="0" collapsed="false">
      <c r="A385" s="2" t="n">
        <v>1350176</v>
      </c>
      <c r="B385" s="2" t="s">
        <v>1420</v>
      </c>
      <c r="C385" s="2" t="s">
        <v>1358</v>
      </c>
      <c r="D385" s="2" t="s">
        <v>341</v>
      </c>
      <c r="E385" s="2" t="s">
        <v>59</v>
      </c>
      <c r="F385" s="2" t="s">
        <v>102</v>
      </c>
      <c r="G385" s="2" t="s">
        <v>103</v>
      </c>
      <c r="H385" s="2" t="s">
        <v>103</v>
      </c>
      <c r="I385" s="2" t="n">
        <v>10</v>
      </c>
      <c r="J385" s="2" t="n">
        <v>26</v>
      </c>
      <c r="K385" s="2" t="s">
        <v>1421</v>
      </c>
      <c r="L385" s="2" t="s">
        <v>67</v>
      </c>
      <c r="M385" s="2" t="n">
        <v>178</v>
      </c>
      <c r="N385" s="3"/>
      <c r="O385" s="2"/>
      <c r="P385" s="2" t="n">
        <v>3</v>
      </c>
      <c r="Q385" s="3" t="n">
        <v>87</v>
      </c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 t="n">
        <v>1</v>
      </c>
      <c r="AX385" s="2"/>
      <c r="AY385" s="2"/>
      <c r="AZ385" s="2"/>
      <c r="BA385" s="2"/>
      <c r="BB385" s="2"/>
      <c r="BC385" s="2"/>
      <c r="BD385" s="4" t="s">
        <v>1422</v>
      </c>
    </row>
    <row r="386" customFormat="false" ht="15" hidden="false" customHeight="false" outlineLevel="0" collapsed="false">
      <c r="A386" s="2" t="n">
        <v>575317</v>
      </c>
      <c r="B386" s="2" t="s">
        <v>1423</v>
      </c>
      <c r="C386" s="2" t="s">
        <v>1358</v>
      </c>
      <c r="D386" s="2" t="s">
        <v>341</v>
      </c>
      <c r="E386" s="2" t="s">
        <v>59</v>
      </c>
      <c r="F386" s="2" t="s">
        <v>102</v>
      </c>
      <c r="G386" s="2" t="s">
        <v>404</v>
      </c>
      <c r="H386" s="2" t="s">
        <v>404</v>
      </c>
      <c r="I386" s="2" t="n">
        <v>93</v>
      </c>
      <c r="J386" s="2" t="n">
        <v>33</v>
      </c>
      <c r="K386" s="2" t="s">
        <v>1424</v>
      </c>
      <c r="L386" s="2" t="s">
        <v>178</v>
      </c>
      <c r="M386" s="2" t="n">
        <v>168</v>
      </c>
      <c r="N386" s="3" t="n">
        <v>132762</v>
      </c>
      <c r="O386" s="2"/>
      <c r="P386" s="2" t="n">
        <v>3</v>
      </c>
      <c r="Q386" s="3" t="n">
        <v>82</v>
      </c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 t="n">
        <v>1</v>
      </c>
      <c r="AX386" s="2"/>
      <c r="AY386" s="2"/>
      <c r="AZ386" s="2"/>
      <c r="BA386" s="2"/>
      <c r="BB386" s="2"/>
      <c r="BC386" s="2"/>
      <c r="BD386" s="4" t="s">
        <v>1425</v>
      </c>
    </row>
    <row r="387" customFormat="false" ht="15" hidden="false" customHeight="false" outlineLevel="0" collapsed="false">
      <c r="A387" s="2" t="n">
        <v>1921664</v>
      </c>
      <c r="B387" s="2" t="s">
        <v>1426</v>
      </c>
      <c r="C387" s="2" t="s">
        <v>1358</v>
      </c>
      <c r="D387" s="2" t="s">
        <v>341</v>
      </c>
      <c r="E387" s="2" t="s">
        <v>59</v>
      </c>
      <c r="F387" s="2" t="s">
        <v>102</v>
      </c>
      <c r="G387" s="2"/>
      <c r="H387" s="2"/>
      <c r="I387" s="2" t="n">
        <v>30</v>
      </c>
      <c r="J387" s="2" t="n">
        <v>19</v>
      </c>
      <c r="K387" s="2" t="s">
        <v>1427</v>
      </c>
      <c r="L387" s="2" t="s">
        <v>67</v>
      </c>
      <c r="M387" s="2" t="n">
        <v>180</v>
      </c>
      <c r="N387" s="3"/>
      <c r="O387" s="2"/>
      <c r="P387" s="2" t="n">
        <v>1</v>
      </c>
      <c r="Q387" s="3" t="n">
        <v>4</v>
      </c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4" t="s">
        <v>1428</v>
      </c>
    </row>
    <row r="388" customFormat="false" ht="15" hidden="false" customHeight="false" outlineLevel="0" collapsed="false">
      <c r="A388" s="2" t="n">
        <v>2303352</v>
      </c>
      <c r="B388" s="2" t="s">
        <v>1429</v>
      </c>
      <c r="C388" s="2" t="s">
        <v>1358</v>
      </c>
      <c r="D388" s="2" t="s">
        <v>341</v>
      </c>
      <c r="E388" s="2" t="s">
        <v>59</v>
      </c>
      <c r="F388" s="2" t="s">
        <v>102</v>
      </c>
      <c r="G388" s="2"/>
      <c r="H388" s="2"/>
      <c r="I388" s="2" t="n">
        <v>26</v>
      </c>
      <c r="J388" s="2" t="n">
        <v>16</v>
      </c>
      <c r="K388" s="2" t="s">
        <v>1430</v>
      </c>
      <c r="L388" s="2" t="s">
        <v>67</v>
      </c>
      <c r="M388" s="2" t="n">
        <v>188</v>
      </c>
      <c r="N388" s="3"/>
      <c r="O388" s="2"/>
      <c r="P388" s="2"/>
      <c r="Q388" s="3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4" t="s">
        <v>1431</v>
      </c>
    </row>
    <row r="389" customFormat="false" ht="15" hidden="false" customHeight="false" outlineLevel="0" collapsed="false">
      <c r="A389" s="2" t="n">
        <v>1082953</v>
      </c>
      <c r="B389" s="2" t="s">
        <v>1432</v>
      </c>
      <c r="C389" s="2" t="s">
        <v>1358</v>
      </c>
      <c r="D389" s="2" t="s">
        <v>341</v>
      </c>
      <c r="E389" s="2" t="s">
        <v>59</v>
      </c>
      <c r="F389" s="2" t="s">
        <v>137</v>
      </c>
      <c r="G389" s="2" t="s">
        <v>147</v>
      </c>
      <c r="H389" s="2" t="s">
        <v>1433</v>
      </c>
      <c r="I389" s="2" t="n">
        <v>20</v>
      </c>
      <c r="J389" s="2" t="n">
        <v>24</v>
      </c>
      <c r="K389" s="2" t="s">
        <v>1434</v>
      </c>
      <c r="L389" s="2" t="s">
        <v>67</v>
      </c>
      <c r="M389" s="2" t="n">
        <v>185</v>
      </c>
      <c r="N389" s="3" t="n">
        <v>85698</v>
      </c>
      <c r="O389" s="2"/>
      <c r="P389" s="2" t="n">
        <v>25</v>
      </c>
      <c r="Q389" s="3" t="n">
        <v>2085</v>
      </c>
      <c r="R389" s="2" t="n">
        <v>6.73</v>
      </c>
      <c r="S389" s="2" t="n">
        <v>1</v>
      </c>
      <c r="T389" s="2" t="n">
        <v>5</v>
      </c>
      <c r="U389" s="2" t="n">
        <v>0</v>
      </c>
      <c r="V389" s="2" t="n">
        <v>4</v>
      </c>
      <c r="W389" s="2"/>
      <c r="X389" s="2" t="n">
        <v>0.22</v>
      </c>
      <c r="Y389" s="2" t="n">
        <v>2</v>
      </c>
      <c r="Z389" s="2" t="n">
        <v>0.7</v>
      </c>
      <c r="AA389" s="2" t="n">
        <v>10.9</v>
      </c>
      <c r="AB389" s="2" t="n">
        <v>7</v>
      </c>
      <c r="AC389" s="2" t="n">
        <v>24</v>
      </c>
      <c r="AD389" s="2" t="n">
        <v>1</v>
      </c>
      <c r="AE389" s="2" t="n">
        <v>3</v>
      </c>
      <c r="AF389" s="2" t="n">
        <v>15.7</v>
      </c>
      <c r="AG389" s="2" t="n">
        <v>78.8</v>
      </c>
      <c r="AH389" s="2" t="n">
        <v>0.3</v>
      </c>
      <c r="AI389" s="2" t="n">
        <v>38.9</v>
      </c>
      <c r="AJ389" s="2" t="n">
        <v>0.6</v>
      </c>
      <c r="AK389" s="2" t="n">
        <v>41.7</v>
      </c>
      <c r="AL389" s="2"/>
      <c r="AM389" s="2"/>
      <c r="AN389" s="2" t="n">
        <v>2.2</v>
      </c>
      <c r="AO389" s="2" t="n">
        <v>1.3</v>
      </c>
      <c r="AP389" s="2" t="n">
        <v>0.3</v>
      </c>
      <c r="AQ389" s="2" t="n">
        <v>0.5</v>
      </c>
      <c r="AR389" s="2" t="n">
        <v>0.1</v>
      </c>
      <c r="AS389" s="2" t="n">
        <v>3.1</v>
      </c>
      <c r="AT389" s="2" t="n">
        <v>0.5</v>
      </c>
      <c r="AU389" s="2" t="n">
        <v>1.8</v>
      </c>
      <c r="AV389" s="2" t="n">
        <v>2.8</v>
      </c>
      <c r="AW389" s="2" t="n">
        <v>6</v>
      </c>
      <c r="AX389" s="2"/>
      <c r="AY389" s="2"/>
      <c r="AZ389" s="2"/>
      <c r="BA389" s="2"/>
      <c r="BB389" s="2"/>
      <c r="BC389" s="2"/>
      <c r="BD389" s="4" t="s">
        <v>1435</v>
      </c>
    </row>
    <row r="390" customFormat="false" ht="15" hidden="false" customHeight="false" outlineLevel="0" collapsed="false">
      <c r="A390" s="2" t="n">
        <v>1240376</v>
      </c>
      <c r="B390" s="2" t="s">
        <v>1436</v>
      </c>
      <c r="C390" s="2" t="s">
        <v>1358</v>
      </c>
      <c r="D390" s="2" t="s">
        <v>341</v>
      </c>
      <c r="E390" s="2" t="s">
        <v>59</v>
      </c>
      <c r="F390" s="2" t="s">
        <v>137</v>
      </c>
      <c r="G390" s="2" t="s">
        <v>71</v>
      </c>
      <c r="H390" s="2" t="s">
        <v>1437</v>
      </c>
      <c r="I390" s="2" t="n">
        <v>17</v>
      </c>
      <c r="J390" s="2" t="n">
        <v>22</v>
      </c>
      <c r="K390" s="2" t="s">
        <v>1438</v>
      </c>
      <c r="L390" s="2" t="s">
        <v>1169</v>
      </c>
      <c r="M390" s="2" t="n">
        <v>173</v>
      </c>
      <c r="N390" s="3" t="n">
        <v>115181</v>
      </c>
      <c r="O390" s="2"/>
      <c r="P390" s="2" t="n">
        <v>24</v>
      </c>
      <c r="Q390" s="3" t="n">
        <v>1937</v>
      </c>
      <c r="R390" s="2" t="n">
        <v>6.91</v>
      </c>
      <c r="S390" s="2" t="n">
        <v>2</v>
      </c>
      <c r="T390" s="2" t="n">
        <v>1</v>
      </c>
      <c r="U390" s="2" t="n">
        <v>0</v>
      </c>
      <c r="V390" s="2" t="n">
        <v>4</v>
      </c>
      <c r="W390" s="2"/>
      <c r="X390" s="2" t="n">
        <v>0.05</v>
      </c>
      <c r="Y390" s="2" t="n">
        <v>2.3</v>
      </c>
      <c r="Z390" s="2" t="n">
        <v>0.4</v>
      </c>
      <c r="AA390" s="2" t="n">
        <v>2</v>
      </c>
      <c r="AB390" s="2" t="n">
        <v>2</v>
      </c>
      <c r="AC390" s="2" t="n">
        <v>20</v>
      </c>
      <c r="AD390" s="2" t="n">
        <v>0.9</v>
      </c>
      <c r="AE390" s="2" t="n">
        <v>1</v>
      </c>
      <c r="AF390" s="2" t="n">
        <v>25</v>
      </c>
      <c r="AG390" s="2" t="n">
        <v>80.2</v>
      </c>
      <c r="AH390" s="2" t="n">
        <v>1.1</v>
      </c>
      <c r="AI390" s="2" t="n">
        <v>49</v>
      </c>
      <c r="AJ390" s="2" t="n">
        <v>1.3</v>
      </c>
      <c r="AK390" s="2" t="n">
        <v>40</v>
      </c>
      <c r="AL390" s="2"/>
      <c r="AM390" s="2"/>
      <c r="AN390" s="2" t="n">
        <v>3.5</v>
      </c>
      <c r="AO390" s="2" t="n">
        <v>1.7</v>
      </c>
      <c r="AP390" s="2" t="n">
        <v>0.7</v>
      </c>
      <c r="AQ390" s="2" t="n">
        <v>1</v>
      </c>
      <c r="AR390" s="2" t="n">
        <v>0.1</v>
      </c>
      <c r="AS390" s="2" t="n">
        <v>5.3</v>
      </c>
      <c r="AT390" s="2" t="n">
        <v>0.4</v>
      </c>
      <c r="AU390" s="2" t="n">
        <v>2.6</v>
      </c>
      <c r="AV390" s="2" t="n">
        <v>1.3</v>
      </c>
      <c r="AW390" s="2" t="n">
        <v>3</v>
      </c>
      <c r="AX390" s="2"/>
      <c r="AY390" s="2"/>
      <c r="AZ390" s="2"/>
      <c r="BA390" s="2"/>
      <c r="BB390" s="2"/>
      <c r="BC390" s="2"/>
      <c r="BD390" s="4" t="s">
        <v>1439</v>
      </c>
    </row>
    <row r="391" customFormat="false" ht="15" hidden="false" customHeight="false" outlineLevel="0" collapsed="false">
      <c r="A391" s="2" t="n">
        <v>1447989</v>
      </c>
      <c r="B391" s="2" t="s">
        <v>1440</v>
      </c>
      <c r="C391" s="2" t="s">
        <v>1358</v>
      </c>
      <c r="D391" s="2" t="s">
        <v>341</v>
      </c>
      <c r="E391" s="2" t="s">
        <v>59</v>
      </c>
      <c r="F391" s="2" t="s">
        <v>137</v>
      </c>
      <c r="G391" s="2" t="s">
        <v>133</v>
      </c>
      <c r="H391" s="2" t="s">
        <v>1441</v>
      </c>
      <c r="I391" s="2" t="n">
        <v>11</v>
      </c>
      <c r="J391" s="2" t="n">
        <v>25</v>
      </c>
      <c r="K391" s="2" t="s">
        <v>1442</v>
      </c>
      <c r="L391" s="2" t="s">
        <v>67</v>
      </c>
      <c r="M391" s="2" t="n">
        <v>178</v>
      </c>
      <c r="N391" s="3" t="n">
        <v>105425</v>
      </c>
      <c r="O391" s="2"/>
      <c r="P391" s="2" t="n">
        <v>25</v>
      </c>
      <c r="Q391" s="3" t="n">
        <v>1149</v>
      </c>
      <c r="R391" s="2" t="n">
        <v>6.36</v>
      </c>
      <c r="S391" s="2" t="n">
        <v>0</v>
      </c>
      <c r="T391" s="2" t="n">
        <v>3</v>
      </c>
      <c r="U391" s="2" t="n">
        <v>0</v>
      </c>
      <c r="V391" s="2" t="n">
        <v>1</v>
      </c>
      <c r="W391" s="2"/>
      <c r="X391" s="2" t="n">
        <v>0.23</v>
      </c>
      <c r="Y391" s="2" t="n">
        <v>2</v>
      </c>
      <c r="Z391" s="2" t="n">
        <v>0.8</v>
      </c>
      <c r="AA391" s="2" t="n">
        <v>11.5</v>
      </c>
      <c r="AB391" s="2"/>
      <c r="AC391" s="2" t="n">
        <v>4</v>
      </c>
      <c r="AD391" s="2" t="n">
        <v>0.3</v>
      </c>
      <c r="AE391" s="2" t="n">
        <v>2</v>
      </c>
      <c r="AF391" s="2" t="n">
        <v>8.9</v>
      </c>
      <c r="AG391" s="2" t="n">
        <v>68.5</v>
      </c>
      <c r="AH391" s="2" t="n">
        <v>0.3</v>
      </c>
      <c r="AI391" s="2" t="n">
        <v>40</v>
      </c>
      <c r="AJ391" s="2" t="n">
        <v>0.2</v>
      </c>
      <c r="AK391" s="2" t="n">
        <v>10</v>
      </c>
      <c r="AL391" s="2"/>
      <c r="AM391" s="2"/>
      <c r="AN391" s="2" t="n">
        <v>2.7</v>
      </c>
      <c r="AO391" s="2" t="n">
        <v>0.9</v>
      </c>
      <c r="AP391" s="2" t="n">
        <v>0.3</v>
      </c>
      <c r="AQ391" s="2" t="n">
        <v>1.1</v>
      </c>
      <c r="AR391" s="2" t="n">
        <v>0.3</v>
      </c>
      <c r="AS391" s="2" t="n">
        <v>2.4</v>
      </c>
      <c r="AT391" s="2" t="n">
        <v>0.5</v>
      </c>
      <c r="AU391" s="2" t="n">
        <v>1.4</v>
      </c>
      <c r="AV391" s="2" t="n">
        <v>1.7</v>
      </c>
      <c r="AW391" s="2" t="n">
        <v>2</v>
      </c>
      <c r="AX391" s="2"/>
      <c r="AY391" s="2"/>
      <c r="AZ391" s="2"/>
      <c r="BA391" s="2"/>
      <c r="BB391" s="2"/>
      <c r="BC391" s="2"/>
      <c r="BD391" s="4" t="s">
        <v>1443</v>
      </c>
    </row>
    <row r="392" customFormat="false" ht="15" hidden="false" customHeight="false" outlineLevel="0" collapsed="false">
      <c r="A392" s="2" t="n">
        <v>1406105</v>
      </c>
      <c r="B392" s="2" t="s">
        <v>1444</v>
      </c>
      <c r="C392" s="2" t="s">
        <v>1358</v>
      </c>
      <c r="D392" s="2" t="s">
        <v>341</v>
      </c>
      <c r="E392" s="2" t="s">
        <v>59</v>
      </c>
      <c r="F392" s="2" t="s">
        <v>137</v>
      </c>
      <c r="G392" s="2" t="s">
        <v>133</v>
      </c>
      <c r="H392" s="2" t="s">
        <v>742</v>
      </c>
      <c r="I392" s="2" t="n">
        <v>15</v>
      </c>
      <c r="J392" s="2" t="n">
        <v>20</v>
      </c>
      <c r="K392" s="2" t="s">
        <v>1445</v>
      </c>
      <c r="L392" s="2" t="s">
        <v>346</v>
      </c>
      <c r="M392" s="2" t="n">
        <v>178</v>
      </c>
      <c r="N392" s="3" t="n">
        <v>1415068</v>
      </c>
      <c r="O392" s="2"/>
      <c r="P392" s="2" t="n">
        <v>10</v>
      </c>
      <c r="Q392" s="3" t="n">
        <v>538</v>
      </c>
      <c r="R392" s="2"/>
      <c r="S392" s="2"/>
      <c r="T392" s="2" t="n">
        <v>1</v>
      </c>
      <c r="U392" s="2" t="n">
        <v>0</v>
      </c>
      <c r="V392" s="2" t="n">
        <v>1</v>
      </c>
      <c r="W392" s="2"/>
      <c r="X392" s="2"/>
      <c r="Y392" s="2"/>
      <c r="Z392" s="2"/>
      <c r="AA392" s="2"/>
      <c r="AB392" s="2"/>
      <c r="AC392" s="2" t="n">
        <v>6</v>
      </c>
      <c r="AD392" s="2" t="n">
        <v>1</v>
      </c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 t="n">
        <v>3</v>
      </c>
      <c r="AX392" s="2"/>
      <c r="AY392" s="2"/>
      <c r="AZ392" s="2"/>
      <c r="BA392" s="2"/>
      <c r="BB392" s="2"/>
      <c r="BC392" s="2"/>
      <c r="BD392" s="4" t="s">
        <v>1446</v>
      </c>
    </row>
    <row r="393" customFormat="false" ht="15" hidden="false" customHeight="false" outlineLevel="0" collapsed="false">
      <c r="A393" s="2" t="n">
        <v>1364473</v>
      </c>
      <c r="B393" s="2" t="s">
        <v>1447</v>
      </c>
      <c r="C393" s="2" t="s">
        <v>1358</v>
      </c>
      <c r="D393" s="2" t="s">
        <v>341</v>
      </c>
      <c r="E393" s="2" t="s">
        <v>59</v>
      </c>
      <c r="F393" s="2" t="s">
        <v>137</v>
      </c>
      <c r="G393" s="2" t="s">
        <v>147</v>
      </c>
      <c r="H393" s="2" t="s">
        <v>147</v>
      </c>
      <c r="I393" s="2" t="n">
        <v>21</v>
      </c>
      <c r="J393" s="2" t="n">
        <v>22</v>
      </c>
      <c r="K393" s="2" t="s">
        <v>1448</v>
      </c>
      <c r="L393" s="2" t="s">
        <v>1286</v>
      </c>
      <c r="M393" s="2" t="n">
        <v>189</v>
      </c>
      <c r="N393" s="3" t="n">
        <v>181093</v>
      </c>
      <c r="O393" s="2"/>
      <c r="P393" s="2" t="n">
        <v>8</v>
      </c>
      <c r="Q393" s="3" t="n">
        <v>218</v>
      </c>
      <c r="R393" s="2"/>
      <c r="S393" s="2"/>
      <c r="T393" s="2" t="n">
        <v>1</v>
      </c>
      <c r="U393" s="2" t="n">
        <v>0</v>
      </c>
      <c r="V393" s="2"/>
      <c r="W393" s="2"/>
      <c r="X393" s="2"/>
      <c r="Y393" s="2"/>
      <c r="Z393" s="2"/>
      <c r="AA393" s="2"/>
      <c r="AB393" s="2"/>
      <c r="AC393" s="2" t="n">
        <v>2</v>
      </c>
      <c r="AD393" s="2" t="n">
        <v>0.8</v>
      </c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 t="n">
        <v>2</v>
      </c>
      <c r="AX393" s="2"/>
      <c r="AY393" s="2"/>
      <c r="AZ393" s="2"/>
      <c r="BA393" s="2"/>
      <c r="BB393" s="2"/>
      <c r="BC393" s="2"/>
      <c r="BD393" s="4" t="s">
        <v>1449</v>
      </c>
    </row>
    <row r="394" customFormat="false" ht="15" hidden="false" customHeight="false" outlineLevel="0" collapsed="false">
      <c r="A394" s="2" t="n">
        <v>1344758</v>
      </c>
      <c r="B394" s="2" t="s">
        <v>1450</v>
      </c>
      <c r="C394" s="2" t="s">
        <v>1358</v>
      </c>
      <c r="D394" s="2" t="s">
        <v>341</v>
      </c>
      <c r="E394" s="2" t="s">
        <v>59</v>
      </c>
      <c r="F394" s="2" t="s">
        <v>137</v>
      </c>
      <c r="G394" s="2" t="s">
        <v>138</v>
      </c>
      <c r="H394" s="2" t="s">
        <v>138</v>
      </c>
      <c r="I394" s="2" t="n">
        <v>7</v>
      </c>
      <c r="J394" s="2" t="n">
        <v>26</v>
      </c>
      <c r="K394" s="2" t="s">
        <v>1451</v>
      </c>
      <c r="L394" s="2" t="s">
        <v>67</v>
      </c>
      <c r="M394" s="2" t="n">
        <v>170</v>
      </c>
      <c r="N394" s="3" t="n">
        <v>115076</v>
      </c>
      <c r="O394" s="2"/>
      <c r="P394" s="2" t="n">
        <v>5</v>
      </c>
      <c r="Q394" s="3" t="n">
        <v>83</v>
      </c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 t="n">
        <v>1</v>
      </c>
      <c r="AD394" s="2" t="n">
        <v>1.1</v>
      </c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 t="n">
        <v>1</v>
      </c>
      <c r="AX394" s="2"/>
      <c r="AY394" s="2"/>
      <c r="AZ394" s="2"/>
      <c r="BA394" s="2"/>
      <c r="BB394" s="2"/>
      <c r="BC394" s="2"/>
      <c r="BD394" s="4" t="s">
        <v>1452</v>
      </c>
    </row>
    <row r="395" customFormat="false" ht="15" hidden="false" customHeight="false" outlineLevel="0" collapsed="false">
      <c r="A395" s="2" t="n">
        <v>1168844</v>
      </c>
      <c r="B395" s="2" t="s">
        <v>1453</v>
      </c>
      <c r="C395" s="2" t="s">
        <v>1454</v>
      </c>
      <c r="D395" s="2" t="s">
        <v>341</v>
      </c>
      <c r="E395" s="2" t="s">
        <v>59</v>
      </c>
      <c r="F395" s="2" t="s">
        <v>60</v>
      </c>
      <c r="G395" s="2" t="s">
        <v>61</v>
      </c>
      <c r="H395" s="2" t="s">
        <v>61</v>
      </c>
      <c r="I395" s="2" t="n">
        <v>13</v>
      </c>
      <c r="J395" s="2" t="n">
        <v>25</v>
      </c>
      <c r="K395" s="2" t="s">
        <v>1455</v>
      </c>
      <c r="L395" s="2" t="s">
        <v>67</v>
      </c>
      <c r="M395" s="2" t="n">
        <v>180</v>
      </c>
      <c r="N395" s="3"/>
      <c r="O395" s="2"/>
      <c r="P395" s="2" t="n">
        <v>23</v>
      </c>
      <c r="Q395" s="3" t="n">
        <v>2070</v>
      </c>
      <c r="R395" s="2" t="n">
        <v>7.48</v>
      </c>
      <c r="S395" s="2" t="n">
        <v>4</v>
      </c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 t="n">
        <v>36</v>
      </c>
      <c r="AG395" s="2" t="n">
        <v>76.8</v>
      </c>
      <c r="AH395" s="2"/>
      <c r="AI395" s="2"/>
      <c r="AJ395" s="2"/>
      <c r="AK395" s="2"/>
      <c r="AL395" s="2"/>
      <c r="AM395" s="2"/>
      <c r="AN395" s="2" t="n">
        <v>1.7</v>
      </c>
      <c r="AO395" s="2" t="n">
        <v>0.1</v>
      </c>
      <c r="AP395" s="2"/>
      <c r="AQ395" s="2" t="n">
        <v>1.7</v>
      </c>
      <c r="AR395" s="2"/>
      <c r="AS395" s="2" t="n">
        <v>11.1</v>
      </c>
      <c r="AT395" s="2"/>
      <c r="AU395" s="2"/>
      <c r="AV395" s="2"/>
      <c r="AW395" s="2" t="n">
        <v>5</v>
      </c>
      <c r="AX395" s="2"/>
      <c r="AY395" s="2"/>
      <c r="AZ395" s="2" t="n">
        <v>8</v>
      </c>
      <c r="BA395" s="2" t="n">
        <v>4.2</v>
      </c>
      <c r="BB395" s="2" t="n">
        <v>77.4</v>
      </c>
      <c r="BC395" s="2" t="n">
        <v>1.2</v>
      </c>
      <c r="BD395" s="4" t="s">
        <v>1456</v>
      </c>
    </row>
    <row r="396" customFormat="false" ht="15" hidden="false" customHeight="false" outlineLevel="0" collapsed="false">
      <c r="A396" s="2" t="n">
        <v>1252101</v>
      </c>
      <c r="B396" s="2" t="s">
        <v>1457</v>
      </c>
      <c r="C396" s="2" t="s">
        <v>1454</v>
      </c>
      <c r="D396" s="2" t="s">
        <v>341</v>
      </c>
      <c r="E396" s="2" t="s">
        <v>59</v>
      </c>
      <c r="F396" s="2" t="s">
        <v>60</v>
      </c>
      <c r="G396" s="2" t="s">
        <v>61</v>
      </c>
      <c r="H396" s="2" t="s">
        <v>61</v>
      </c>
      <c r="I396" s="2" t="n">
        <v>56</v>
      </c>
      <c r="J396" s="2" t="n">
        <v>29</v>
      </c>
      <c r="K396" s="2" t="s">
        <v>1458</v>
      </c>
      <c r="L396" s="2" t="s">
        <v>761</v>
      </c>
      <c r="M396" s="2" t="n">
        <v>185</v>
      </c>
      <c r="N396" s="3" t="n">
        <v>50000</v>
      </c>
      <c r="O396" s="2"/>
      <c r="P396" s="2" t="n">
        <v>2</v>
      </c>
      <c r="Q396" s="3" t="n">
        <v>180</v>
      </c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4" t="s">
        <v>1459</v>
      </c>
    </row>
    <row r="397" customFormat="false" ht="15" hidden="false" customHeight="false" outlineLevel="0" collapsed="false">
      <c r="A397" s="2" t="n">
        <v>1252224</v>
      </c>
      <c r="B397" s="2" t="s">
        <v>1460</v>
      </c>
      <c r="C397" s="2" t="s">
        <v>1454</v>
      </c>
      <c r="D397" s="2" t="s">
        <v>341</v>
      </c>
      <c r="E397" s="2" t="s">
        <v>59</v>
      </c>
      <c r="F397" s="2" t="s">
        <v>60</v>
      </c>
      <c r="G397" s="2" t="s">
        <v>61</v>
      </c>
      <c r="H397" s="2" t="s">
        <v>61</v>
      </c>
      <c r="I397" s="2" t="n">
        <v>33</v>
      </c>
      <c r="J397" s="2" t="n">
        <v>28</v>
      </c>
      <c r="K397" s="2" t="s">
        <v>1461</v>
      </c>
      <c r="L397" s="2" t="s">
        <v>67</v>
      </c>
      <c r="M397" s="2" t="n">
        <v>188</v>
      </c>
      <c r="N397" s="3"/>
      <c r="O397" s="2"/>
      <c r="P397" s="2"/>
      <c r="Q397" s="3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4" t="s">
        <v>1462</v>
      </c>
    </row>
    <row r="398" customFormat="false" ht="15" hidden="false" customHeight="false" outlineLevel="0" collapsed="false">
      <c r="A398" s="2" t="n">
        <v>2119828</v>
      </c>
      <c r="B398" s="2" t="s">
        <v>1463</v>
      </c>
      <c r="C398" s="2" t="s">
        <v>1454</v>
      </c>
      <c r="D398" s="2" t="s">
        <v>341</v>
      </c>
      <c r="E398" s="2" t="s">
        <v>59</v>
      </c>
      <c r="F398" s="2" t="s">
        <v>60</v>
      </c>
      <c r="G398" s="2"/>
      <c r="H398" s="2"/>
      <c r="I398" s="2" t="n">
        <v>54</v>
      </c>
      <c r="J398" s="2" t="n">
        <v>17</v>
      </c>
      <c r="K398" s="2" t="s">
        <v>576</v>
      </c>
      <c r="L398" s="2" t="s">
        <v>67</v>
      </c>
      <c r="M398" s="2" t="n">
        <v>178</v>
      </c>
      <c r="N398" s="3"/>
      <c r="O398" s="2"/>
      <c r="P398" s="2"/>
      <c r="Q398" s="3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4" t="s">
        <v>1464</v>
      </c>
    </row>
    <row r="399" customFormat="false" ht="15" hidden="false" customHeight="false" outlineLevel="0" collapsed="false">
      <c r="A399" s="2" t="n">
        <v>662981</v>
      </c>
      <c r="B399" s="2" t="s">
        <v>1465</v>
      </c>
      <c r="C399" s="2" t="s">
        <v>1454</v>
      </c>
      <c r="D399" s="2" t="s">
        <v>341</v>
      </c>
      <c r="E399" s="2" t="s">
        <v>59</v>
      </c>
      <c r="F399" s="2" t="s">
        <v>70</v>
      </c>
      <c r="G399" s="2" t="s">
        <v>75</v>
      </c>
      <c r="H399" s="2" t="s">
        <v>1466</v>
      </c>
      <c r="I399" s="2" t="n">
        <v>2</v>
      </c>
      <c r="J399" s="2" t="n">
        <v>29</v>
      </c>
      <c r="K399" s="2" t="s">
        <v>1467</v>
      </c>
      <c r="L399" s="2" t="s">
        <v>1468</v>
      </c>
      <c r="M399" s="2" t="n">
        <v>183</v>
      </c>
      <c r="N399" s="3" t="n">
        <v>60396</v>
      </c>
      <c r="O399" s="2"/>
      <c r="P399" s="2" t="n">
        <v>25</v>
      </c>
      <c r="Q399" s="3" t="n">
        <v>2179</v>
      </c>
      <c r="R399" s="2" t="n">
        <v>6.92</v>
      </c>
      <c r="S399" s="2" t="n">
        <v>1</v>
      </c>
      <c r="T399" s="2"/>
      <c r="U399" s="2"/>
      <c r="V399" s="2" t="n">
        <v>5</v>
      </c>
      <c r="W399" s="2"/>
      <c r="X399" s="2"/>
      <c r="Y399" s="2" t="n">
        <v>0.2</v>
      </c>
      <c r="Z399" s="2" t="n">
        <v>0.1</v>
      </c>
      <c r="AA399" s="2" t="n">
        <v>0</v>
      </c>
      <c r="AB399" s="2"/>
      <c r="AC399" s="2" t="n">
        <v>18</v>
      </c>
      <c r="AD399" s="2" t="n">
        <v>0.7</v>
      </c>
      <c r="AE399" s="2" t="n">
        <v>4</v>
      </c>
      <c r="AF399" s="2" t="n">
        <v>58.7</v>
      </c>
      <c r="AG399" s="2" t="n">
        <v>89.3</v>
      </c>
      <c r="AH399" s="2" t="n">
        <v>4.6</v>
      </c>
      <c r="AI399" s="2" t="n">
        <v>57.5</v>
      </c>
      <c r="AJ399" s="2" t="n">
        <v>0.2</v>
      </c>
      <c r="AK399" s="2" t="n">
        <v>57.1</v>
      </c>
      <c r="AL399" s="2"/>
      <c r="AM399" s="2"/>
      <c r="AN399" s="2" t="n">
        <v>6.2</v>
      </c>
      <c r="AO399" s="2" t="n">
        <v>1.1</v>
      </c>
      <c r="AP399" s="2" t="n">
        <v>0.5</v>
      </c>
      <c r="AQ399" s="2" t="n">
        <v>3.9</v>
      </c>
      <c r="AR399" s="2" t="n">
        <v>0.7</v>
      </c>
      <c r="AS399" s="2" t="n">
        <v>2.2</v>
      </c>
      <c r="AT399" s="2" t="n">
        <v>0</v>
      </c>
      <c r="AU399" s="2" t="n">
        <v>0.9</v>
      </c>
      <c r="AV399" s="2" t="n">
        <v>0.7</v>
      </c>
      <c r="AW399" s="2" t="n">
        <v>3</v>
      </c>
      <c r="AX399" s="2"/>
      <c r="AY399" s="2"/>
      <c r="AZ399" s="2"/>
      <c r="BA399" s="2"/>
      <c r="BB399" s="2"/>
      <c r="BC399" s="2"/>
      <c r="BD399" s="4" t="s">
        <v>1469</v>
      </c>
    </row>
    <row r="400" customFormat="false" ht="15" hidden="false" customHeight="false" outlineLevel="0" collapsed="false">
      <c r="A400" s="2" t="n">
        <v>1054030</v>
      </c>
      <c r="B400" s="2" t="s">
        <v>1470</v>
      </c>
      <c r="C400" s="2" t="s">
        <v>1454</v>
      </c>
      <c r="D400" s="2" t="s">
        <v>341</v>
      </c>
      <c r="E400" s="2" t="s">
        <v>59</v>
      </c>
      <c r="F400" s="2" t="s">
        <v>70</v>
      </c>
      <c r="G400" s="2" t="s">
        <v>71</v>
      </c>
      <c r="H400" s="2" t="s">
        <v>71</v>
      </c>
      <c r="I400" s="2" t="n">
        <v>3</v>
      </c>
      <c r="J400" s="2" t="n">
        <v>26</v>
      </c>
      <c r="K400" s="2" t="s">
        <v>1471</v>
      </c>
      <c r="L400" s="2" t="s">
        <v>67</v>
      </c>
      <c r="M400" s="2" t="n">
        <v>180</v>
      </c>
      <c r="N400" s="3" t="n">
        <v>103747</v>
      </c>
      <c r="O400" s="2"/>
      <c r="P400" s="2" t="n">
        <v>25</v>
      </c>
      <c r="Q400" s="3" t="n">
        <v>2097</v>
      </c>
      <c r="R400" s="2" t="n">
        <v>6.91</v>
      </c>
      <c r="S400" s="2" t="n">
        <v>0</v>
      </c>
      <c r="T400" s="2"/>
      <c r="U400" s="2"/>
      <c r="V400" s="2" t="n">
        <v>3</v>
      </c>
      <c r="W400" s="2"/>
      <c r="X400" s="2"/>
      <c r="Y400" s="2" t="n">
        <v>0.4</v>
      </c>
      <c r="Z400" s="2" t="n">
        <v>0.2</v>
      </c>
      <c r="AA400" s="2" t="n">
        <v>0</v>
      </c>
      <c r="AB400" s="2"/>
      <c r="AC400" s="2" t="n">
        <v>13</v>
      </c>
      <c r="AD400" s="2" t="n">
        <v>0.6</v>
      </c>
      <c r="AE400" s="2" t="n">
        <v>2</v>
      </c>
      <c r="AF400" s="2" t="n">
        <v>37</v>
      </c>
      <c r="AG400" s="2" t="n">
        <v>84.9</v>
      </c>
      <c r="AH400" s="2" t="n">
        <v>1.6</v>
      </c>
      <c r="AI400" s="2" t="n">
        <v>37.6</v>
      </c>
      <c r="AJ400" s="2" t="n">
        <v>0.6</v>
      </c>
      <c r="AK400" s="2" t="n">
        <v>51.9</v>
      </c>
      <c r="AL400" s="2"/>
      <c r="AM400" s="2"/>
      <c r="AN400" s="2" t="n">
        <v>4.6</v>
      </c>
      <c r="AO400" s="2" t="n">
        <v>1.4</v>
      </c>
      <c r="AP400" s="2" t="n">
        <v>0.7</v>
      </c>
      <c r="AQ400" s="2" t="n">
        <v>2.3</v>
      </c>
      <c r="AR400" s="2" t="n">
        <v>0.3</v>
      </c>
      <c r="AS400" s="2" t="n">
        <v>3</v>
      </c>
      <c r="AT400" s="2" t="n">
        <v>0.2</v>
      </c>
      <c r="AU400" s="2" t="n">
        <v>1.2</v>
      </c>
      <c r="AV400" s="2" t="n">
        <v>0.7</v>
      </c>
      <c r="AW400" s="2" t="n">
        <v>5</v>
      </c>
      <c r="AX400" s="2"/>
      <c r="AY400" s="2"/>
      <c r="AZ400" s="2"/>
      <c r="BA400" s="2"/>
      <c r="BB400" s="2"/>
      <c r="BC400" s="2"/>
      <c r="BD400" s="4" t="s">
        <v>1472</v>
      </c>
    </row>
    <row r="401" customFormat="false" ht="15" hidden="false" customHeight="false" outlineLevel="0" collapsed="false">
      <c r="A401" s="2" t="n">
        <v>1339430</v>
      </c>
      <c r="B401" s="2" t="s">
        <v>1473</v>
      </c>
      <c r="C401" s="2" t="s">
        <v>1454</v>
      </c>
      <c r="D401" s="2" t="s">
        <v>341</v>
      </c>
      <c r="E401" s="2" t="s">
        <v>59</v>
      </c>
      <c r="F401" s="2" t="s">
        <v>70</v>
      </c>
      <c r="G401" s="2" t="s">
        <v>75</v>
      </c>
      <c r="H401" s="2" t="s">
        <v>75</v>
      </c>
      <c r="I401" s="2" t="n">
        <v>4</v>
      </c>
      <c r="J401" s="2" t="n">
        <v>26</v>
      </c>
      <c r="K401" s="2" t="s">
        <v>1474</v>
      </c>
      <c r="L401" s="2" t="s">
        <v>67</v>
      </c>
      <c r="M401" s="2" t="n">
        <v>188</v>
      </c>
      <c r="N401" s="3" t="n">
        <v>95207</v>
      </c>
      <c r="O401" s="2"/>
      <c r="P401" s="2" t="n">
        <v>21</v>
      </c>
      <c r="Q401" s="3" t="n">
        <v>1665</v>
      </c>
      <c r="R401" s="2" t="n">
        <v>7.17</v>
      </c>
      <c r="S401" s="2" t="n">
        <v>2</v>
      </c>
      <c r="T401" s="2" t="n">
        <v>4</v>
      </c>
      <c r="U401" s="2" t="n">
        <v>0</v>
      </c>
      <c r="V401" s="2"/>
      <c r="W401" s="2"/>
      <c r="X401" s="2" t="n">
        <v>0.22</v>
      </c>
      <c r="Y401" s="2" t="n">
        <v>0.9</v>
      </c>
      <c r="Z401" s="2" t="n">
        <v>0.3</v>
      </c>
      <c r="AA401" s="2" t="n">
        <v>25</v>
      </c>
      <c r="AB401" s="2" t="n">
        <v>2</v>
      </c>
      <c r="AC401" s="2" t="n">
        <v>5</v>
      </c>
      <c r="AD401" s="2" t="n">
        <v>0.3</v>
      </c>
      <c r="AE401" s="2" t="n">
        <v>1</v>
      </c>
      <c r="AF401" s="2" t="n">
        <v>50.6</v>
      </c>
      <c r="AG401" s="2" t="n">
        <v>89.7</v>
      </c>
      <c r="AH401" s="2" t="n">
        <v>3.5</v>
      </c>
      <c r="AI401" s="2" t="n">
        <v>56.1</v>
      </c>
      <c r="AJ401" s="2" t="n">
        <v>0.1</v>
      </c>
      <c r="AK401" s="2" t="n">
        <v>50</v>
      </c>
      <c r="AL401" s="2"/>
      <c r="AM401" s="2"/>
      <c r="AN401" s="2" t="n">
        <v>10.6</v>
      </c>
      <c r="AO401" s="2" t="n">
        <v>0.5</v>
      </c>
      <c r="AP401" s="2" t="n">
        <v>0.8</v>
      </c>
      <c r="AQ401" s="2" t="n">
        <v>7.7</v>
      </c>
      <c r="AR401" s="2" t="n">
        <v>1.6</v>
      </c>
      <c r="AS401" s="2" t="n">
        <v>2.6</v>
      </c>
      <c r="AT401" s="2" t="n">
        <v>0.1</v>
      </c>
      <c r="AU401" s="2" t="n">
        <v>0.8</v>
      </c>
      <c r="AV401" s="2" t="n">
        <v>0.7</v>
      </c>
      <c r="AW401" s="2" t="n">
        <v>4</v>
      </c>
      <c r="AX401" s="2"/>
      <c r="AY401" s="2"/>
      <c r="AZ401" s="2"/>
      <c r="BA401" s="2"/>
      <c r="BB401" s="2"/>
      <c r="BC401" s="2"/>
      <c r="BD401" s="4" t="s">
        <v>1475</v>
      </c>
    </row>
    <row r="402" customFormat="false" ht="15" hidden="false" customHeight="false" outlineLevel="0" collapsed="false">
      <c r="A402" s="2" t="n">
        <v>1171307</v>
      </c>
      <c r="B402" s="2" t="s">
        <v>1476</v>
      </c>
      <c r="C402" s="2" t="s">
        <v>1454</v>
      </c>
      <c r="D402" s="2" t="s">
        <v>341</v>
      </c>
      <c r="E402" s="2" t="s">
        <v>59</v>
      </c>
      <c r="F402" s="2" t="s">
        <v>70</v>
      </c>
      <c r="G402" s="2" t="s">
        <v>92</v>
      </c>
      <c r="H402" s="2" t="s">
        <v>92</v>
      </c>
      <c r="I402" s="2" t="n">
        <v>17</v>
      </c>
      <c r="J402" s="2" t="n">
        <v>25</v>
      </c>
      <c r="K402" s="2" t="s">
        <v>1477</v>
      </c>
      <c r="L402" s="2" t="s">
        <v>67</v>
      </c>
      <c r="M402" s="2" t="n">
        <v>183</v>
      </c>
      <c r="N402" s="3" t="n">
        <v>84531</v>
      </c>
      <c r="O402" s="2"/>
      <c r="P402" s="2" t="n">
        <v>19</v>
      </c>
      <c r="Q402" s="3" t="n">
        <v>1006</v>
      </c>
      <c r="R402" s="2" t="n">
        <v>6.63</v>
      </c>
      <c r="S402" s="2" t="n">
        <v>0</v>
      </c>
      <c r="T402" s="2"/>
      <c r="U402" s="2"/>
      <c r="V402" s="2" t="n">
        <v>2</v>
      </c>
      <c r="W402" s="2"/>
      <c r="X402" s="2"/>
      <c r="Y402" s="2" t="n">
        <v>1.3</v>
      </c>
      <c r="Z402" s="2" t="n">
        <v>0.4</v>
      </c>
      <c r="AA402" s="2" t="n">
        <v>0</v>
      </c>
      <c r="AB402" s="2"/>
      <c r="AC402" s="2" t="n">
        <v>11</v>
      </c>
      <c r="AD402" s="2" t="n">
        <v>1</v>
      </c>
      <c r="AE402" s="2" t="n">
        <v>2</v>
      </c>
      <c r="AF402" s="2" t="n">
        <v>28.4</v>
      </c>
      <c r="AG402" s="2" t="n">
        <v>85.3</v>
      </c>
      <c r="AH402" s="2" t="n">
        <v>0.7</v>
      </c>
      <c r="AI402" s="2" t="n">
        <v>36.4</v>
      </c>
      <c r="AJ402" s="2" t="n">
        <v>0.3</v>
      </c>
      <c r="AK402" s="2" t="n">
        <v>33.3</v>
      </c>
      <c r="AL402" s="2"/>
      <c r="AM402" s="2"/>
      <c r="AN402" s="2" t="n">
        <v>5.8</v>
      </c>
      <c r="AO402" s="2" t="n">
        <v>1.7</v>
      </c>
      <c r="AP402" s="2" t="n">
        <v>0.7</v>
      </c>
      <c r="AQ402" s="2" t="n">
        <v>3</v>
      </c>
      <c r="AR402" s="2" t="n">
        <v>0.4</v>
      </c>
      <c r="AS402" s="2" t="n">
        <v>4</v>
      </c>
      <c r="AT402" s="2" t="n">
        <v>0.4</v>
      </c>
      <c r="AU402" s="2" t="n">
        <v>0.6</v>
      </c>
      <c r="AV402" s="2" t="n">
        <v>0.4</v>
      </c>
      <c r="AW402" s="2" t="n">
        <v>1</v>
      </c>
      <c r="AX402" s="2"/>
      <c r="AY402" s="2"/>
      <c r="AZ402" s="2"/>
      <c r="BA402" s="2"/>
      <c r="BB402" s="2"/>
      <c r="BC402" s="2"/>
      <c r="BD402" s="4" t="s">
        <v>1478</v>
      </c>
    </row>
    <row r="403" customFormat="false" ht="15" hidden="false" customHeight="false" outlineLevel="0" collapsed="false">
      <c r="A403" s="2" t="n">
        <v>1420380</v>
      </c>
      <c r="B403" s="2" t="s">
        <v>1479</v>
      </c>
      <c r="C403" s="2" t="s">
        <v>1454</v>
      </c>
      <c r="D403" s="2" t="s">
        <v>341</v>
      </c>
      <c r="E403" s="2" t="s">
        <v>59</v>
      </c>
      <c r="F403" s="2" t="s">
        <v>70</v>
      </c>
      <c r="G403" s="2" t="s">
        <v>92</v>
      </c>
      <c r="H403" s="2" t="s">
        <v>957</v>
      </c>
      <c r="I403" s="2" t="n">
        <v>27</v>
      </c>
      <c r="J403" s="2" t="n">
        <v>27</v>
      </c>
      <c r="K403" s="2" t="s">
        <v>1296</v>
      </c>
      <c r="L403" s="2" t="s">
        <v>85</v>
      </c>
      <c r="M403" s="2" t="n">
        <v>188</v>
      </c>
      <c r="N403" s="3" t="n">
        <v>50000</v>
      </c>
      <c r="O403" s="2"/>
      <c r="P403" s="2" t="n">
        <v>16</v>
      </c>
      <c r="Q403" s="3" t="n">
        <v>945</v>
      </c>
      <c r="R403" s="2" t="n">
        <v>6.68</v>
      </c>
      <c r="S403" s="2" t="n">
        <v>0</v>
      </c>
      <c r="T403" s="2" t="n">
        <v>1</v>
      </c>
      <c r="U403" s="2" t="n">
        <v>0</v>
      </c>
      <c r="V403" s="2"/>
      <c r="W403" s="2"/>
      <c r="X403" s="2" t="n">
        <v>0.1</v>
      </c>
      <c r="Y403" s="2" t="n">
        <v>0.4</v>
      </c>
      <c r="Z403" s="2" t="n">
        <v>0.1</v>
      </c>
      <c r="AA403" s="2" t="n">
        <v>25</v>
      </c>
      <c r="AB403" s="2" t="n">
        <v>1</v>
      </c>
      <c r="AC403" s="2" t="n">
        <v>3</v>
      </c>
      <c r="AD403" s="2" t="n">
        <v>0.3</v>
      </c>
      <c r="AE403" s="2"/>
      <c r="AF403" s="2" t="n">
        <v>42.6</v>
      </c>
      <c r="AG403" s="2" t="n">
        <v>86.5</v>
      </c>
      <c r="AH403" s="2" t="n">
        <v>2.3</v>
      </c>
      <c r="AI403" s="2" t="n">
        <v>38.1</v>
      </c>
      <c r="AJ403" s="2" t="n">
        <v>0.5</v>
      </c>
      <c r="AK403" s="2" t="n">
        <v>62.5</v>
      </c>
      <c r="AL403" s="2"/>
      <c r="AM403" s="2"/>
      <c r="AN403" s="2" t="n">
        <v>7.4</v>
      </c>
      <c r="AO403" s="2" t="n">
        <v>0.7</v>
      </c>
      <c r="AP403" s="2" t="n">
        <v>1.5</v>
      </c>
      <c r="AQ403" s="2" t="n">
        <v>4.4</v>
      </c>
      <c r="AR403" s="2" t="n">
        <v>0.9</v>
      </c>
      <c r="AS403" s="2" t="n">
        <v>3.3</v>
      </c>
      <c r="AT403" s="2"/>
      <c r="AU403" s="2"/>
      <c r="AV403" s="2" t="n">
        <v>1.7</v>
      </c>
      <c r="AW403" s="2" t="n">
        <v>4</v>
      </c>
      <c r="AX403" s="2"/>
      <c r="AY403" s="2" t="n">
        <v>2</v>
      </c>
      <c r="AZ403" s="2"/>
      <c r="BA403" s="2"/>
      <c r="BB403" s="2"/>
      <c r="BC403" s="2"/>
      <c r="BD403" s="4" t="s">
        <v>1480</v>
      </c>
    </row>
    <row r="404" customFormat="false" ht="15" hidden="false" customHeight="false" outlineLevel="0" collapsed="false">
      <c r="A404" s="2" t="n">
        <v>501040</v>
      </c>
      <c r="B404" s="2" t="s">
        <v>1481</v>
      </c>
      <c r="C404" s="2" t="s">
        <v>1454</v>
      </c>
      <c r="D404" s="2" t="s">
        <v>341</v>
      </c>
      <c r="E404" s="2" t="s">
        <v>59</v>
      </c>
      <c r="F404" s="2" t="s">
        <v>70</v>
      </c>
      <c r="G404" s="2" t="s">
        <v>75</v>
      </c>
      <c r="H404" s="2" t="s">
        <v>75</v>
      </c>
      <c r="I404" s="2" t="n">
        <v>24</v>
      </c>
      <c r="J404" s="2" t="n">
        <v>32</v>
      </c>
      <c r="K404" s="2" t="s">
        <v>1482</v>
      </c>
      <c r="L404" s="2" t="s">
        <v>110</v>
      </c>
      <c r="M404" s="2" t="n">
        <v>191</v>
      </c>
      <c r="N404" s="3" t="n">
        <v>50000</v>
      </c>
      <c r="O404" s="2"/>
      <c r="P404" s="2" t="n">
        <v>13</v>
      </c>
      <c r="Q404" s="3" t="n">
        <v>407</v>
      </c>
      <c r="R404" s="2"/>
      <c r="S404" s="2"/>
      <c r="T404" s="2"/>
      <c r="U404" s="2"/>
      <c r="V404" s="2"/>
      <c r="W404" s="2"/>
      <c r="X404" s="2"/>
      <c r="Y404" s="2" t="n">
        <v>0.2</v>
      </c>
      <c r="Z404" s="2"/>
      <c r="AA404" s="2" t="n">
        <v>0</v>
      </c>
      <c r="AB404" s="2" t="n">
        <v>1</v>
      </c>
      <c r="AC404" s="2" t="n">
        <v>1</v>
      </c>
      <c r="AD404" s="2" t="n">
        <v>0.2</v>
      </c>
      <c r="AE404" s="2"/>
      <c r="AF404" s="2" t="n">
        <v>45.6</v>
      </c>
      <c r="AG404" s="2" t="n">
        <v>89.6</v>
      </c>
      <c r="AH404" s="2" t="n">
        <v>2</v>
      </c>
      <c r="AI404" s="2" t="n">
        <v>39.1</v>
      </c>
      <c r="AJ404" s="2" t="n">
        <v>0.2</v>
      </c>
      <c r="AK404" s="2" t="n">
        <v>100</v>
      </c>
      <c r="AL404" s="2"/>
      <c r="AM404" s="2"/>
      <c r="AN404" s="2" t="n">
        <v>8.2</v>
      </c>
      <c r="AO404" s="2" t="n">
        <v>0.9</v>
      </c>
      <c r="AP404" s="2" t="n">
        <v>0.7</v>
      </c>
      <c r="AQ404" s="2" t="n">
        <v>5.7</v>
      </c>
      <c r="AR404" s="2" t="n">
        <v>0.9</v>
      </c>
      <c r="AS404" s="2" t="n">
        <v>2.4</v>
      </c>
      <c r="AT404" s="2" t="n">
        <v>0.2</v>
      </c>
      <c r="AU404" s="2" t="n">
        <v>0.9</v>
      </c>
      <c r="AV404" s="2" t="n">
        <v>1.1</v>
      </c>
      <c r="AW404" s="2" t="n">
        <v>4</v>
      </c>
      <c r="AX404" s="2"/>
      <c r="AY404" s="2"/>
      <c r="AZ404" s="2"/>
      <c r="BA404" s="2"/>
      <c r="BB404" s="2"/>
      <c r="BC404" s="2"/>
      <c r="BD404" s="4" t="s">
        <v>1483</v>
      </c>
    </row>
    <row r="405" customFormat="false" ht="15" hidden="false" customHeight="false" outlineLevel="0" collapsed="false">
      <c r="A405" s="2" t="n">
        <v>1460330</v>
      </c>
      <c r="B405" s="2" t="s">
        <v>1484</v>
      </c>
      <c r="C405" s="2" t="s">
        <v>1454</v>
      </c>
      <c r="D405" s="2" t="s">
        <v>341</v>
      </c>
      <c r="E405" s="2" t="s">
        <v>59</v>
      </c>
      <c r="F405" s="2" t="s">
        <v>102</v>
      </c>
      <c r="G405" s="2" t="s">
        <v>103</v>
      </c>
      <c r="H405" s="2" t="s">
        <v>1485</v>
      </c>
      <c r="I405" s="2" t="n">
        <v>15</v>
      </c>
      <c r="J405" s="2" t="n">
        <v>25</v>
      </c>
      <c r="K405" s="2" t="s">
        <v>1486</v>
      </c>
      <c r="L405" s="2" t="s">
        <v>67</v>
      </c>
      <c r="M405" s="2" t="n">
        <v>191</v>
      </c>
      <c r="N405" s="3" t="n">
        <v>100659</v>
      </c>
      <c r="O405" s="2"/>
      <c r="P405" s="2" t="n">
        <v>25</v>
      </c>
      <c r="Q405" s="3" t="n">
        <v>2179</v>
      </c>
      <c r="R405" s="2" t="n">
        <v>7.24</v>
      </c>
      <c r="S405" s="2" t="n">
        <v>0</v>
      </c>
      <c r="T405" s="2" t="n">
        <v>2</v>
      </c>
      <c r="U405" s="2" t="n">
        <v>0</v>
      </c>
      <c r="V405" s="2" t="n">
        <v>4</v>
      </c>
      <c r="W405" s="2"/>
      <c r="X405" s="2" t="n">
        <v>0.08</v>
      </c>
      <c r="Y405" s="2" t="n">
        <v>1.3</v>
      </c>
      <c r="Z405" s="2" t="n">
        <v>0.5</v>
      </c>
      <c r="AA405" s="2" t="n">
        <v>6.3</v>
      </c>
      <c r="AB405" s="2" t="n">
        <v>4</v>
      </c>
      <c r="AC405" s="2" t="n">
        <v>26</v>
      </c>
      <c r="AD405" s="2" t="n">
        <v>1.1</v>
      </c>
      <c r="AE405" s="2" t="n">
        <v>7</v>
      </c>
      <c r="AF405" s="2" t="n">
        <v>36.8</v>
      </c>
      <c r="AG405" s="2" t="n">
        <v>85.3</v>
      </c>
      <c r="AH405" s="2" t="n">
        <v>2.1</v>
      </c>
      <c r="AI405" s="2" t="n">
        <v>53.2</v>
      </c>
      <c r="AJ405" s="2" t="n">
        <v>0.7</v>
      </c>
      <c r="AK405" s="2" t="n">
        <v>72</v>
      </c>
      <c r="AL405" s="2"/>
      <c r="AM405" s="2"/>
      <c r="AN405" s="2" t="n">
        <v>4.5</v>
      </c>
      <c r="AO405" s="2" t="n">
        <v>1.4</v>
      </c>
      <c r="AP405" s="2" t="n">
        <v>0.9</v>
      </c>
      <c r="AQ405" s="2" t="n">
        <v>1.9</v>
      </c>
      <c r="AR405" s="2" t="n">
        <v>0.4</v>
      </c>
      <c r="AS405" s="2" t="n">
        <v>4.4</v>
      </c>
      <c r="AT405" s="2" t="n">
        <v>0.3</v>
      </c>
      <c r="AU405" s="2" t="n">
        <v>2.6</v>
      </c>
      <c r="AV405" s="2" t="n">
        <v>1.6</v>
      </c>
      <c r="AW405" s="2" t="n">
        <v>8</v>
      </c>
      <c r="AX405" s="2"/>
      <c r="AY405" s="2" t="n">
        <v>2</v>
      </c>
      <c r="AZ405" s="2"/>
      <c r="BA405" s="2"/>
      <c r="BB405" s="2"/>
      <c r="BC405" s="2"/>
      <c r="BD405" s="4" t="s">
        <v>1487</v>
      </c>
    </row>
    <row r="406" customFormat="false" ht="15" hidden="false" customHeight="false" outlineLevel="0" collapsed="false">
      <c r="A406" s="2" t="n">
        <v>1075639</v>
      </c>
      <c r="B406" s="2" t="s">
        <v>1488</v>
      </c>
      <c r="C406" s="2" t="s">
        <v>1454</v>
      </c>
      <c r="D406" s="2" t="s">
        <v>341</v>
      </c>
      <c r="E406" s="2" t="s">
        <v>59</v>
      </c>
      <c r="F406" s="2" t="s">
        <v>102</v>
      </c>
      <c r="G406" s="2" t="s">
        <v>103</v>
      </c>
      <c r="H406" s="2" t="s">
        <v>699</v>
      </c>
      <c r="I406" s="2" t="n">
        <v>19</v>
      </c>
      <c r="J406" s="2" t="n">
        <v>26</v>
      </c>
      <c r="K406" s="2" t="s">
        <v>1489</v>
      </c>
      <c r="L406" s="2" t="s">
        <v>1490</v>
      </c>
      <c r="M406" s="2" t="n">
        <v>170</v>
      </c>
      <c r="N406" s="3" t="n">
        <v>95207</v>
      </c>
      <c r="O406" s="2"/>
      <c r="P406" s="2" t="n">
        <v>22</v>
      </c>
      <c r="Q406" s="3" t="n">
        <v>1935</v>
      </c>
      <c r="R406" s="2" t="n">
        <v>7.01</v>
      </c>
      <c r="S406" s="2" t="n">
        <v>2</v>
      </c>
      <c r="T406" s="2" t="n">
        <v>3</v>
      </c>
      <c r="U406" s="2" t="n">
        <v>0</v>
      </c>
      <c r="V406" s="2" t="n">
        <v>2</v>
      </c>
      <c r="W406" s="2"/>
      <c r="X406" s="2" t="n">
        <v>0.14</v>
      </c>
      <c r="Y406" s="2" t="n">
        <v>0.9</v>
      </c>
      <c r="Z406" s="2" t="n">
        <v>0.2</v>
      </c>
      <c r="AA406" s="2" t="n">
        <v>15</v>
      </c>
      <c r="AB406" s="2" t="n">
        <v>1</v>
      </c>
      <c r="AC406" s="2" t="n">
        <v>18</v>
      </c>
      <c r="AD406" s="2" t="n">
        <v>0.8</v>
      </c>
      <c r="AE406" s="2" t="n">
        <v>3</v>
      </c>
      <c r="AF406" s="2" t="n">
        <v>44.3</v>
      </c>
      <c r="AG406" s="2" t="n">
        <v>89.7</v>
      </c>
      <c r="AH406" s="2" t="n">
        <v>1.7</v>
      </c>
      <c r="AI406" s="2" t="n">
        <v>54.5</v>
      </c>
      <c r="AJ406" s="2" t="n">
        <v>0.2</v>
      </c>
      <c r="AK406" s="2" t="n">
        <v>25</v>
      </c>
      <c r="AL406" s="2"/>
      <c r="AM406" s="2"/>
      <c r="AN406" s="2" t="n">
        <v>3</v>
      </c>
      <c r="AO406" s="2" t="n">
        <v>0.9</v>
      </c>
      <c r="AP406" s="2" t="n">
        <v>1</v>
      </c>
      <c r="AQ406" s="2" t="n">
        <v>0.9</v>
      </c>
      <c r="AR406" s="2" t="n">
        <v>0.2</v>
      </c>
      <c r="AS406" s="2" t="n">
        <v>3.1</v>
      </c>
      <c r="AT406" s="2" t="n">
        <v>0.3</v>
      </c>
      <c r="AU406" s="2" t="n">
        <v>1.8</v>
      </c>
      <c r="AV406" s="2" t="n">
        <v>1.5</v>
      </c>
      <c r="AW406" s="2" t="n">
        <v>10</v>
      </c>
      <c r="AX406" s="2"/>
      <c r="AY406" s="2"/>
      <c r="AZ406" s="2"/>
      <c r="BA406" s="2"/>
      <c r="BB406" s="2"/>
      <c r="BC406" s="2"/>
      <c r="BD406" s="4" t="s">
        <v>1491</v>
      </c>
    </row>
    <row r="407" customFormat="false" ht="15" hidden="false" customHeight="false" outlineLevel="0" collapsed="false">
      <c r="A407" s="2" t="n">
        <v>959425</v>
      </c>
      <c r="B407" s="2" t="s">
        <v>1492</v>
      </c>
      <c r="C407" s="2" t="s">
        <v>1454</v>
      </c>
      <c r="D407" s="2" t="s">
        <v>341</v>
      </c>
      <c r="E407" s="2" t="s">
        <v>59</v>
      </c>
      <c r="F407" s="2" t="s">
        <v>102</v>
      </c>
      <c r="G407" s="2" t="s">
        <v>113</v>
      </c>
      <c r="H407" s="2" t="s">
        <v>1493</v>
      </c>
      <c r="I407" s="2" t="n">
        <v>21</v>
      </c>
      <c r="J407" s="2" t="n">
        <v>27</v>
      </c>
      <c r="K407" s="2" t="s">
        <v>1494</v>
      </c>
      <c r="L407" s="2" t="s">
        <v>243</v>
      </c>
      <c r="M407" s="2" t="n">
        <v>175</v>
      </c>
      <c r="N407" s="3" t="n">
        <v>51590</v>
      </c>
      <c r="O407" s="2"/>
      <c r="P407" s="2" t="n">
        <v>16</v>
      </c>
      <c r="Q407" s="3" t="n">
        <v>1242</v>
      </c>
      <c r="R407" s="2" t="n">
        <v>6.94</v>
      </c>
      <c r="S407" s="2" t="n">
        <v>1</v>
      </c>
      <c r="T407" s="2" t="n">
        <v>3</v>
      </c>
      <c r="U407" s="2" t="n">
        <v>0</v>
      </c>
      <c r="V407" s="2" t="n">
        <v>3</v>
      </c>
      <c r="W407" s="2"/>
      <c r="X407" s="2" t="n">
        <v>0.22</v>
      </c>
      <c r="Y407" s="2" t="n">
        <v>1.6</v>
      </c>
      <c r="Z407" s="2" t="n">
        <v>0.6</v>
      </c>
      <c r="AA407" s="2" t="n">
        <v>13.6</v>
      </c>
      <c r="AB407" s="2" t="n">
        <v>1</v>
      </c>
      <c r="AC407" s="2" t="n">
        <v>16</v>
      </c>
      <c r="AD407" s="2" t="n">
        <v>1.2</v>
      </c>
      <c r="AE407" s="2" t="n">
        <v>3</v>
      </c>
      <c r="AF407" s="2" t="n">
        <v>23.3</v>
      </c>
      <c r="AG407" s="2" t="n">
        <v>81.9</v>
      </c>
      <c r="AH407" s="2" t="n">
        <v>2</v>
      </c>
      <c r="AI407" s="2" t="n">
        <v>77.8</v>
      </c>
      <c r="AJ407" s="2" t="n">
        <v>0.4</v>
      </c>
      <c r="AK407" s="2" t="n">
        <v>37.5</v>
      </c>
      <c r="AL407" s="2"/>
      <c r="AM407" s="2"/>
      <c r="AN407" s="2" t="n">
        <v>1.4</v>
      </c>
      <c r="AO407" s="2" t="n">
        <v>0.5</v>
      </c>
      <c r="AP407" s="2" t="n">
        <v>0.2</v>
      </c>
      <c r="AQ407" s="2" t="n">
        <v>0.7</v>
      </c>
      <c r="AR407" s="2"/>
      <c r="AS407" s="2" t="n">
        <v>1.5</v>
      </c>
      <c r="AT407" s="2" t="n">
        <v>0.1</v>
      </c>
      <c r="AU407" s="2" t="n">
        <v>0.8</v>
      </c>
      <c r="AV407" s="2" t="n">
        <v>1</v>
      </c>
      <c r="AW407" s="2" t="n">
        <v>3</v>
      </c>
      <c r="AX407" s="2"/>
      <c r="AY407" s="2"/>
      <c r="AZ407" s="2"/>
      <c r="BA407" s="2"/>
      <c r="BB407" s="2"/>
      <c r="BC407" s="2"/>
      <c r="BD407" s="4" t="s">
        <v>1495</v>
      </c>
    </row>
    <row r="408" customFormat="false" ht="15" hidden="false" customHeight="false" outlineLevel="0" collapsed="false">
      <c r="A408" s="2" t="n">
        <v>1172876</v>
      </c>
      <c r="B408" s="2" t="s">
        <v>1496</v>
      </c>
      <c r="C408" s="2" t="s">
        <v>1454</v>
      </c>
      <c r="D408" s="2" t="s">
        <v>341</v>
      </c>
      <c r="E408" s="2" t="s">
        <v>59</v>
      </c>
      <c r="F408" s="2" t="s">
        <v>102</v>
      </c>
      <c r="G408" s="2" t="s">
        <v>103</v>
      </c>
      <c r="H408" s="2" t="s">
        <v>123</v>
      </c>
      <c r="I408" s="2" t="n">
        <v>28</v>
      </c>
      <c r="J408" s="2" t="n">
        <v>22</v>
      </c>
      <c r="K408" s="2" t="s">
        <v>1497</v>
      </c>
      <c r="L408" s="2" t="s">
        <v>67</v>
      </c>
      <c r="M408" s="2" t="n">
        <v>183</v>
      </c>
      <c r="N408" s="3"/>
      <c r="O408" s="2"/>
      <c r="P408" s="2" t="n">
        <v>18</v>
      </c>
      <c r="Q408" s="3" t="n">
        <v>513</v>
      </c>
      <c r="R408" s="2" t="n">
        <v>6.37</v>
      </c>
      <c r="S408" s="2" t="n">
        <v>0</v>
      </c>
      <c r="T408" s="2"/>
      <c r="U408" s="2"/>
      <c r="V408" s="2"/>
      <c r="W408" s="2"/>
      <c r="X408" s="2"/>
      <c r="Y408" s="2" t="n">
        <v>0.5</v>
      </c>
      <c r="Z408" s="2" t="n">
        <v>0.4</v>
      </c>
      <c r="AA408" s="2" t="n">
        <v>0</v>
      </c>
      <c r="AB408" s="2"/>
      <c r="AC408" s="2" t="n">
        <v>4</v>
      </c>
      <c r="AD408" s="2" t="n">
        <v>0.7</v>
      </c>
      <c r="AE408" s="2"/>
      <c r="AF408" s="2" t="n">
        <v>34.2</v>
      </c>
      <c r="AG408" s="2" t="n">
        <v>82.3</v>
      </c>
      <c r="AH408" s="2" t="n">
        <v>1.6</v>
      </c>
      <c r="AI408" s="2" t="n">
        <v>30</v>
      </c>
      <c r="AJ408" s="2" t="n">
        <v>0.5</v>
      </c>
      <c r="AK408" s="2" t="n">
        <v>33.3</v>
      </c>
      <c r="AL408" s="2"/>
      <c r="AM408" s="2"/>
      <c r="AN408" s="2" t="n">
        <v>4.7</v>
      </c>
      <c r="AO408" s="2" t="n">
        <v>1.4</v>
      </c>
      <c r="AP408" s="2" t="n">
        <v>0.9</v>
      </c>
      <c r="AQ408" s="2" t="n">
        <v>2.3</v>
      </c>
      <c r="AR408" s="2" t="n">
        <v>0.2</v>
      </c>
      <c r="AS408" s="2" t="n">
        <v>3.9</v>
      </c>
      <c r="AT408" s="2"/>
      <c r="AU408" s="2"/>
      <c r="AV408" s="2" t="n">
        <v>1.8</v>
      </c>
      <c r="AW408" s="2" t="n">
        <v>3</v>
      </c>
      <c r="AX408" s="2"/>
      <c r="AY408" s="2"/>
      <c r="AZ408" s="2"/>
      <c r="BA408" s="2"/>
      <c r="BB408" s="2"/>
      <c r="BC408" s="2"/>
      <c r="BD408" s="4" t="s">
        <v>1498</v>
      </c>
    </row>
    <row r="409" customFormat="false" ht="15" hidden="false" customHeight="false" outlineLevel="0" collapsed="false">
      <c r="A409" s="2" t="n">
        <v>481387</v>
      </c>
      <c r="B409" s="2" t="s">
        <v>1499</v>
      </c>
      <c r="C409" s="2" t="s">
        <v>1454</v>
      </c>
      <c r="D409" s="2" t="s">
        <v>341</v>
      </c>
      <c r="E409" s="2" t="s">
        <v>59</v>
      </c>
      <c r="F409" s="2" t="s">
        <v>102</v>
      </c>
      <c r="G409" s="2" t="s">
        <v>103</v>
      </c>
      <c r="H409" s="2" t="s">
        <v>123</v>
      </c>
      <c r="I409" s="2" t="n">
        <v>6</v>
      </c>
      <c r="J409" s="2" t="n">
        <v>29</v>
      </c>
      <c r="K409" s="2" t="s">
        <v>1500</v>
      </c>
      <c r="L409" s="2" t="s">
        <v>67</v>
      </c>
      <c r="M409" s="2" t="n">
        <v>180</v>
      </c>
      <c r="N409" s="3" t="n">
        <v>50000</v>
      </c>
      <c r="O409" s="2"/>
      <c r="P409" s="2" t="n">
        <v>15</v>
      </c>
      <c r="Q409" s="3" t="n">
        <v>505</v>
      </c>
      <c r="R409" s="2" t="n">
        <v>6.45</v>
      </c>
      <c r="S409" s="2" t="n">
        <v>0</v>
      </c>
      <c r="T409" s="2"/>
      <c r="U409" s="2"/>
      <c r="V409" s="2"/>
      <c r="W409" s="2"/>
      <c r="X409" s="2"/>
      <c r="Y409" s="2" t="n">
        <v>0.2</v>
      </c>
      <c r="Z409" s="2"/>
      <c r="AA409" s="2" t="n">
        <v>0</v>
      </c>
      <c r="AB409" s="2"/>
      <c r="AC409" s="2" t="n">
        <v>2</v>
      </c>
      <c r="AD409" s="2" t="n">
        <v>0.4</v>
      </c>
      <c r="AE409" s="2"/>
      <c r="AF409" s="2" t="n">
        <v>63.3</v>
      </c>
      <c r="AG409" s="2" t="n">
        <v>89</v>
      </c>
      <c r="AH409" s="2" t="n">
        <v>4.8</v>
      </c>
      <c r="AI409" s="2" t="n">
        <v>57.4</v>
      </c>
      <c r="AJ409" s="2" t="n">
        <v>0.2</v>
      </c>
      <c r="AK409" s="2" t="n">
        <v>33.3</v>
      </c>
      <c r="AL409" s="2"/>
      <c r="AM409" s="2"/>
      <c r="AN409" s="2" t="n">
        <v>6.4</v>
      </c>
      <c r="AO409" s="2" t="n">
        <v>2.9</v>
      </c>
      <c r="AP409" s="2" t="n">
        <v>1.2</v>
      </c>
      <c r="AQ409" s="2" t="n">
        <v>1.4</v>
      </c>
      <c r="AR409" s="2" t="n">
        <v>0.9</v>
      </c>
      <c r="AS409" s="2" t="n">
        <v>3.9</v>
      </c>
      <c r="AT409" s="2" t="n">
        <v>0.2</v>
      </c>
      <c r="AU409" s="2" t="n">
        <v>2</v>
      </c>
      <c r="AV409" s="2" t="n">
        <v>1.2</v>
      </c>
      <c r="AW409" s="2" t="n">
        <v>3</v>
      </c>
      <c r="AX409" s="2"/>
      <c r="AY409" s="2"/>
      <c r="AZ409" s="2"/>
      <c r="BA409" s="2"/>
      <c r="BB409" s="2"/>
      <c r="BC409" s="2"/>
      <c r="BD409" s="4" t="s">
        <v>1501</v>
      </c>
    </row>
    <row r="410" customFormat="false" ht="15" hidden="false" customHeight="false" outlineLevel="0" collapsed="false">
      <c r="A410" s="2" t="n">
        <v>1339365</v>
      </c>
      <c r="B410" s="2" t="s">
        <v>1502</v>
      </c>
      <c r="C410" s="2" t="s">
        <v>1454</v>
      </c>
      <c r="D410" s="2" t="s">
        <v>341</v>
      </c>
      <c r="E410" s="2" t="s">
        <v>59</v>
      </c>
      <c r="F410" s="2" t="s">
        <v>102</v>
      </c>
      <c r="G410" s="2" t="s">
        <v>103</v>
      </c>
      <c r="H410" s="2" t="s">
        <v>103</v>
      </c>
      <c r="I410" s="2" t="n">
        <v>18</v>
      </c>
      <c r="J410" s="2" t="n">
        <v>27</v>
      </c>
      <c r="K410" s="2" t="s">
        <v>1503</v>
      </c>
      <c r="L410" s="2" t="s">
        <v>243</v>
      </c>
      <c r="M410" s="2" t="n">
        <v>178</v>
      </c>
      <c r="N410" s="3" t="n">
        <v>50000</v>
      </c>
      <c r="O410" s="2"/>
      <c r="P410" s="2" t="n">
        <v>1</v>
      </c>
      <c r="Q410" s="3" t="n">
        <v>14</v>
      </c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4" t="s">
        <v>1504</v>
      </c>
    </row>
    <row r="411" customFormat="false" ht="15" hidden="false" customHeight="false" outlineLevel="0" collapsed="false">
      <c r="A411" s="2" t="n">
        <v>1082057</v>
      </c>
      <c r="B411" s="2" t="s">
        <v>1505</v>
      </c>
      <c r="C411" s="2" t="s">
        <v>1454</v>
      </c>
      <c r="D411" s="2" t="s">
        <v>341</v>
      </c>
      <c r="E411" s="2" t="s">
        <v>59</v>
      </c>
      <c r="F411" s="2" t="s">
        <v>102</v>
      </c>
      <c r="G411" s="2" t="s">
        <v>113</v>
      </c>
      <c r="H411" s="2" t="s">
        <v>113</v>
      </c>
      <c r="I411" s="2" t="n">
        <v>8</v>
      </c>
      <c r="J411" s="2" t="n">
        <v>25</v>
      </c>
      <c r="K411" s="2" t="s">
        <v>1477</v>
      </c>
      <c r="L411" s="2" t="s">
        <v>590</v>
      </c>
      <c r="M411" s="2" t="n">
        <v>168</v>
      </c>
      <c r="N411" s="3" t="n">
        <v>106698</v>
      </c>
      <c r="O411" s="2"/>
      <c r="P411" s="2" t="n">
        <v>1</v>
      </c>
      <c r="Q411" s="3" t="n">
        <v>4</v>
      </c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 t="n">
        <v>1</v>
      </c>
      <c r="AD411" s="2" t="n">
        <v>22.5</v>
      </c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4" t="s">
        <v>1506</v>
      </c>
    </row>
    <row r="412" customFormat="false" ht="15" hidden="false" customHeight="false" outlineLevel="0" collapsed="false">
      <c r="A412" s="2" t="n">
        <v>2181028</v>
      </c>
      <c r="B412" s="2" t="s">
        <v>1507</v>
      </c>
      <c r="C412" s="2" t="s">
        <v>1454</v>
      </c>
      <c r="D412" s="2" t="s">
        <v>341</v>
      </c>
      <c r="E412" s="2" t="s">
        <v>59</v>
      </c>
      <c r="F412" s="2" t="s">
        <v>102</v>
      </c>
      <c r="G412" s="2"/>
      <c r="H412" s="2"/>
      <c r="I412" s="2" t="n">
        <v>61</v>
      </c>
      <c r="J412" s="2" t="n">
        <v>18</v>
      </c>
      <c r="K412" s="2" t="s">
        <v>1508</v>
      </c>
      <c r="L412" s="2" t="s">
        <v>67</v>
      </c>
      <c r="M412" s="2" t="n">
        <v>183</v>
      </c>
      <c r="N412" s="3"/>
      <c r="O412" s="2"/>
      <c r="P412" s="2"/>
      <c r="Q412" s="3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4" t="s">
        <v>1509</v>
      </c>
    </row>
    <row r="413" customFormat="false" ht="15" hidden="false" customHeight="false" outlineLevel="0" collapsed="false">
      <c r="A413" s="2" t="n">
        <v>632285</v>
      </c>
      <c r="B413" s="2" t="s">
        <v>1510</v>
      </c>
      <c r="C413" s="2" t="s">
        <v>1454</v>
      </c>
      <c r="D413" s="2" t="s">
        <v>341</v>
      </c>
      <c r="E413" s="2" t="s">
        <v>59</v>
      </c>
      <c r="F413" s="2" t="s">
        <v>137</v>
      </c>
      <c r="G413" s="2" t="s">
        <v>147</v>
      </c>
      <c r="H413" s="2" t="s">
        <v>1511</v>
      </c>
      <c r="I413" s="2" t="n">
        <v>10</v>
      </c>
      <c r="J413" s="2" t="n">
        <v>29</v>
      </c>
      <c r="K413" s="2" t="s">
        <v>1512</v>
      </c>
      <c r="L413" s="2" t="s">
        <v>679</v>
      </c>
      <c r="M413" s="2" t="n">
        <v>183</v>
      </c>
      <c r="N413" s="3" t="n">
        <v>58346</v>
      </c>
      <c r="O413" s="2"/>
      <c r="P413" s="2" t="n">
        <v>25</v>
      </c>
      <c r="Q413" s="3" t="n">
        <v>1945</v>
      </c>
      <c r="R413" s="2" t="n">
        <v>7.14</v>
      </c>
      <c r="S413" s="2" t="n">
        <v>4</v>
      </c>
      <c r="T413" s="2" t="n">
        <v>10</v>
      </c>
      <c r="U413" s="2" t="n">
        <v>2</v>
      </c>
      <c r="V413" s="2" t="n">
        <v>3</v>
      </c>
      <c r="W413" s="2"/>
      <c r="X413" s="2" t="n">
        <v>0.46</v>
      </c>
      <c r="Y413" s="2" t="n">
        <v>2.6</v>
      </c>
      <c r="Z413" s="2" t="n">
        <v>1.1</v>
      </c>
      <c r="AA413" s="2" t="n">
        <v>17.5</v>
      </c>
      <c r="AB413" s="2" t="n">
        <v>9</v>
      </c>
      <c r="AC413" s="2" t="n">
        <v>27</v>
      </c>
      <c r="AD413" s="2" t="n">
        <v>1.2</v>
      </c>
      <c r="AE413" s="2" t="n">
        <v>8</v>
      </c>
      <c r="AF413" s="2" t="n">
        <v>18.4</v>
      </c>
      <c r="AG413" s="2" t="n">
        <v>80.7</v>
      </c>
      <c r="AH413" s="2" t="n">
        <v>1.2</v>
      </c>
      <c r="AI413" s="2" t="n">
        <v>57.8</v>
      </c>
      <c r="AJ413" s="2" t="n">
        <v>0.6</v>
      </c>
      <c r="AK413" s="2" t="n">
        <v>50</v>
      </c>
      <c r="AL413" s="2" t="n">
        <v>1</v>
      </c>
      <c r="AM413" s="2" t="n">
        <v>0.7</v>
      </c>
      <c r="AN413" s="2" t="n">
        <v>2</v>
      </c>
      <c r="AO413" s="2" t="n">
        <v>0.6</v>
      </c>
      <c r="AP413" s="2" t="n">
        <v>0.3</v>
      </c>
      <c r="AQ413" s="2" t="n">
        <v>0.9</v>
      </c>
      <c r="AR413" s="2" t="n">
        <v>0.1</v>
      </c>
      <c r="AS413" s="2" t="n">
        <v>2.4</v>
      </c>
      <c r="AT413" s="2" t="n">
        <v>0.5</v>
      </c>
      <c r="AU413" s="2" t="n">
        <v>1.3</v>
      </c>
      <c r="AV413" s="2" t="n">
        <v>1.6</v>
      </c>
      <c r="AW413" s="2" t="n">
        <v>6</v>
      </c>
      <c r="AX413" s="2"/>
      <c r="AY413" s="2"/>
      <c r="AZ413" s="2"/>
      <c r="BA413" s="2"/>
      <c r="BB413" s="2"/>
      <c r="BC413" s="2"/>
      <c r="BD413" s="4" t="s">
        <v>1513</v>
      </c>
    </row>
    <row r="414" customFormat="false" ht="15" hidden="false" customHeight="false" outlineLevel="0" collapsed="false">
      <c r="A414" s="2" t="n">
        <v>1240864</v>
      </c>
      <c r="B414" s="2" t="s">
        <v>1514</v>
      </c>
      <c r="C414" s="2" t="s">
        <v>1454</v>
      </c>
      <c r="D414" s="2" t="s">
        <v>341</v>
      </c>
      <c r="E414" s="2" t="s">
        <v>59</v>
      </c>
      <c r="F414" s="2" t="s">
        <v>137</v>
      </c>
      <c r="G414" s="2" t="s">
        <v>133</v>
      </c>
      <c r="H414" s="2" t="s">
        <v>1515</v>
      </c>
      <c r="I414" s="2" t="n">
        <v>7</v>
      </c>
      <c r="J414" s="2" t="n">
        <v>25</v>
      </c>
      <c r="K414" s="2" t="s">
        <v>1516</v>
      </c>
      <c r="L414" s="2" t="s">
        <v>1517</v>
      </c>
      <c r="M414" s="2" t="n">
        <v>185</v>
      </c>
      <c r="N414" s="3" t="n">
        <v>88740</v>
      </c>
      <c r="O414" s="2"/>
      <c r="P414" s="2" t="n">
        <v>22</v>
      </c>
      <c r="Q414" s="3" t="n">
        <v>1562</v>
      </c>
      <c r="R414" s="2" t="n">
        <v>7.27</v>
      </c>
      <c r="S414" s="2" t="n">
        <v>1</v>
      </c>
      <c r="T414" s="2" t="n">
        <v>6</v>
      </c>
      <c r="U414" s="2" t="n">
        <v>1</v>
      </c>
      <c r="V414" s="2" t="n">
        <v>1</v>
      </c>
      <c r="W414" s="2"/>
      <c r="X414" s="2" t="n">
        <v>0.35</v>
      </c>
      <c r="Y414" s="2" t="n">
        <v>2.3</v>
      </c>
      <c r="Z414" s="2" t="n">
        <v>0.7</v>
      </c>
      <c r="AA414" s="2" t="n">
        <v>15</v>
      </c>
      <c r="AB414" s="2" t="n">
        <v>2</v>
      </c>
      <c r="AC414" s="2" t="n">
        <v>32</v>
      </c>
      <c r="AD414" s="2" t="n">
        <v>1.8</v>
      </c>
      <c r="AE414" s="2" t="n">
        <v>8</v>
      </c>
      <c r="AF414" s="2" t="n">
        <v>21</v>
      </c>
      <c r="AG414" s="2" t="n">
        <v>80.2</v>
      </c>
      <c r="AH414" s="2" t="n">
        <v>0.5</v>
      </c>
      <c r="AI414" s="2" t="n">
        <v>47.1</v>
      </c>
      <c r="AJ414" s="2" t="n">
        <v>1.6</v>
      </c>
      <c r="AK414" s="2" t="n">
        <v>50.9</v>
      </c>
      <c r="AL414" s="2" t="n">
        <v>1</v>
      </c>
      <c r="AM414" s="2" t="n">
        <v>1.9</v>
      </c>
      <c r="AN414" s="2" t="n">
        <v>2</v>
      </c>
      <c r="AO414" s="2" t="n">
        <v>0.6</v>
      </c>
      <c r="AP414" s="2" t="n">
        <v>0.6</v>
      </c>
      <c r="AQ414" s="2" t="n">
        <v>0.7</v>
      </c>
      <c r="AR414" s="2"/>
      <c r="AS414" s="2" t="n">
        <v>3.3</v>
      </c>
      <c r="AT414" s="2" t="n">
        <v>0.8</v>
      </c>
      <c r="AU414" s="2" t="n">
        <v>1.5</v>
      </c>
      <c r="AV414" s="2" t="n">
        <v>1.2</v>
      </c>
      <c r="AW414" s="2" t="n">
        <v>1</v>
      </c>
      <c r="AX414" s="2"/>
      <c r="AY414" s="2"/>
      <c r="AZ414" s="2"/>
      <c r="BA414" s="2"/>
      <c r="BB414" s="2"/>
      <c r="BC414" s="2"/>
      <c r="BD414" s="4" t="s">
        <v>1518</v>
      </c>
    </row>
    <row r="415" customFormat="false" ht="15" hidden="false" customHeight="false" outlineLevel="0" collapsed="false">
      <c r="A415" s="2" t="n">
        <v>1172427</v>
      </c>
      <c r="B415" s="2" t="s">
        <v>1519</v>
      </c>
      <c r="C415" s="2" t="s">
        <v>1454</v>
      </c>
      <c r="D415" s="2" t="s">
        <v>341</v>
      </c>
      <c r="E415" s="2" t="s">
        <v>59</v>
      </c>
      <c r="F415" s="2" t="s">
        <v>137</v>
      </c>
      <c r="G415" s="2" t="s">
        <v>138</v>
      </c>
      <c r="H415" s="2" t="s">
        <v>138</v>
      </c>
      <c r="I415" s="2" t="n">
        <v>5</v>
      </c>
      <c r="J415" s="2" t="n">
        <v>29</v>
      </c>
      <c r="K415" s="2" t="s">
        <v>1520</v>
      </c>
      <c r="L415" s="2" t="s">
        <v>95</v>
      </c>
      <c r="M415" s="2" t="n">
        <v>165</v>
      </c>
      <c r="N415" s="3" t="n">
        <v>50000</v>
      </c>
      <c r="O415" s="2"/>
      <c r="P415" s="2" t="n">
        <v>19</v>
      </c>
      <c r="Q415" s="3" t="n">
        <v>1088</v>
      </c>
      <c r="R415" s="2" t="n">
        <v>7.03</v>
      </c>
      <c r="S415" s="2" t="n">
        <v>0</v>
      </c>
      <c r="T415" s="2" t="n">
        <v>4</v>
      </c>
      <c r="U415" s="2" t="n">
        <v>0</v>
      </c>
      <c r="V415" s="2" t="n">
        <v>6</v>
      </c>
      <c r="W415" s="2"/>
      <c r="X415" s="2" t="n">
        <v>0.33</v>
      </c>
      <c r="Y415" s="2" t="n">
        <v>2.3</v>
      </c>
      <c r="Z415" s="2" t="n">
        <v>1</v>
      </c>
      <c r="AA415" s="2" t="n">
        <v>14.3</v>
      </c>
      <c r="AB415" s="2" t="n">
        <v>4</v>
      </c>
      <c r="AC415" s="2" t="n">
        <v>21</v>
      </c>
      <c r="AD415" s="2" t="n">
        <v>1.7</v>
      </c>
      <c r="AE415" s="2" t="n">
        <v>7</v>
      </c>
      <c r="AF415" s="2" t="n">
        <v>14.7</v>
      </c>
      <c r="AG415" s="2" t="n">
        <v>74.2</v>
      </c>
      <c r="AH415" s="2" t="n">
        <v>0.8</v>
      </c>
      <c r="AI415" s="2" t="n">
        <v>43.5</v>
      </c>
      <c r="AJ415" s="2" t="n">
        <v>0.8</v>
      </c>
      <c r="AK415" s="2" t="n">
        <v>45.5</v>
      </c>
      <c r="AL415" s="2"/>
      <c r="AM415" s="2"/>
      <c r="AN415" s="2" t="n">
        <v>0.9</v>
      </c>
      <c r="AO415" s="2" t="n">
        <v>0.2</v>
      </c>
      <c r="AP415" s="2" t="n">
        <v>0.3</v>
      </c>
      <c r="AQ415" s="2" t="n">
        <v>0.2</v>
      </c>
      <c r="AR415" s="2" t="n">
        <v>0.1</v>
      </c>
      <c r="AS415" s="2" t="n">
        <v>2.8</v>
      </c>
      <c r="AT415" s="2" t="n">
        <v>0.3</v>
      </c>
      <c r="AU415" s="2" t="n">
        <v>1.9</v>
      </c>
      <c r="AV415" s="2" t="n">
        <v>0.8</v>
      </c>
      <c r="AW415" s="2" t="n">
        <v>1</v>
      </c>
      <c r="AX415" s="2"/>
      <c r="AY415" s="2"/>
      <c r="AZ415" s="2"/>
      <c r="BA415" s="2"/>
      <c r="BB415" s="2"/>
      <c r="BC415" s="2"/>
      <c r="BD415" s="4" t="s">
        <v>1521</v>
      </c>
    </row>
    <row r="416" customFormat="false" ht="15" hidden="false" customHeight="false" outlineLevel="0" collapsed="false">
      <c r="A416" s="2" t="n">
        <v>1057932</v>
      </c>
      <c r="B416" s="2" t="s">
        <v>1522</v>
      </c>
      <c r="C416" s="2" t="s">
        <v>1454</v>
      </c>
      <c r="D416" s="2" t="s">
        <v>341</v>
      </c>
      <c r="E416" s="2" t="s">
        <v>59</v>
      </c>
      <c r="F416" s="2" t="s">
        <v>137</v>
      </c>
      <c r="G416" s="2" t="s">
        <v>133</v>
      </c>
      <c r="H416" s="2" t="s">
        <v>1523</v>
      </c>
      <c r="I416" s="2" t="n">
        <v>14</v>
      </c>
      <c r="J416" s="2" t="n">
        <v>31</v>
      </c>
      <c r="K416" s="2" t="s">
        <v>1524</v>
      </c>
      <c r="L416" s="2" t="s">
        <v>110</v>
      </c>
      <c r="M416" s="2" t="n">
        <v>187</v>
      </c>
      <c r="N416" s="3" t="n">
        <v>50000</v>
      </c>
      <c r="O416" s="2"/>
      <c r="P416" s="2" t="n">
        <v>19</v>
      </c>
      <c r="Q416" s="3" t="n">
        <v>1007</v>
      </c>
      <c r="R416" s="2" t="n">
        <v>6.66</v>
      </c>
      <c r="S416" s="2" t="n">
        <v>0</v>
      </c>
      <c r="T416" s="2" t="n">
        <v>1</v>
      </c>
      <c r="U416" s="2" t="n">
        <v>0</v>
      </c>
      <c r="V416" s="2" t="n">
        <v>1</v>
      </c>
      <c r="W416" s="2"/>
      <c r="X416" s="2" t="n">
        <v>0.09</v>
      </c>
      <c r="Y416" s="2" t="n">
        <v>2.1</v>
      </c>
      <c r="Z416" s="2" t="n">
        <v>0.4</v>
      </c>
      <c r="AA416" s="2" t="n">
        <v>4.4</v>
      </c>
      <c r="AB416" s="2" t="n">
        <v>1</v>
      </c>
      <c r="AC416" s="2" t="n">
        <v>18</v>
      </c>
      <c r="AD416" s="2" t="n">
        <v>1.6</v>
      </c>
      <c r="AE416" s="2" t="n">
        <v>4</v>
      </c>
      <c r="AF416" s="2" t="n">
        <v>26.4</v>
      </c>
      <c r="AG416" s="2" t="n">
        <v>77.2</v>
      </c>
      <c r="AH416" s="2" t="n">
        <v>2.1</v>
      </c>
      <c r="AI416" s="2" t="n">
        <v>52.2</v>
      </c>
      <c r="AJ416" s="2" t="n">
        <v>0.4</v>
      </c>
      <c r="AK416" s="2" t="n">
        <v>26.3</v>
      </c>
      <c r="AL416" s="2"/>
      <c r="AM416" s="2"/>
      <c r="AN416" s="2" t="n">
        <v>1.8</v>
      </c>
      <c r="AO416" s="2" t="n">
        <v>0.9</v>
      </c>
      <c r="AP416" s="2" t="n">
        <v>0.1</v>
      </c>
      <c r="AQ416" s="2" t="n">
        <v>0.7</v>
      </c>
      <c r="AR416" s="2" t="n">
        <v>0.1</v>
      </c>
      <c r="AS416" s="2" t="n">
        <v>3.8</v>
      </c>
      <c r="AT416" s="2" t="n">
        <v>0.4</v>
      </c>
      <c r="AU416" s="2" t="n">
        <v>1.9</v>
      </c>
      <c r="AV416" s="2" t="n">
        <v>2.2</v>
      </c>
      <c r="AW416" s="2" t="n">
        <v>3</v>
      </c>
      <c r="AX416" s="2" t="n">
        <v>1</v>
      </c>
      <c r="AY416" s="2"/>
      <c r="AZ416" s="2"/>
      <c r="BA416" s="2"/>
      <c r="BB416" s="2"/>
      <c r="BC416" s="2"/>
      <c r="BD416" s="4" t="s">
        <v>1525</v>
      </c>
    </row>
    <row r="417" customFormat="false" ht="15" hidden="false" customHeight="false" outlineLevel="0" collapsed="false">
      <c r="A417" s="2" t="n">
        <v>1272104</v>
      </c>
      <c r="B417" s="2" t="s">
        <v>1526</v>
      </c>
      <c r="C417" s="2" t="s">
        <v>1454</v>
      </c>
      <c r="D417" s="2" t="s">
        <v>341</v>
      </c>
      <c r="E417" s="2" t="s">
        <v>59</v>
      </c>
      <c r="F417" s="2" t="s">
        <v>137</v>
      </c>
      <c r="G417" s="2" t="s">
        <v>133</v>
      </c>
      <c r="H417" s="2" t="s">
        <v>742</v>
      </c>
      <c r="I417" s="2" t="n">
        <v>11</v>
      </c>
      <c r="J417" s="2" t="n">
        <v>23</v>
      </c>
      <c r="K417" s="2" t="s">
        <v>1527</v>
      </c>
      <c r="L417" s="2" t="s">
        <v>67</v>
      </c>
      <c r="M417" s="2" t="n">
        <v>160</v>
      </c>
      <c r="N417" s="3" t="n">
        <v>141696</v>
      </c>
      <c r="O417" s="2"/>
      <c r="P417" s="2" t="n">
        <v>21</v>
      </c>
      <c r="Q417" s="3" t="n">
        <v>720</v>
      </c>
      <c r="R417" s="2" t="n">
        <v>6.55</v>
      </c>
      <c r="S417" s="2" t="n">
        <v>0</v>
      </c>
      <c r="T417" s="2" t="n">
        <v>1</v>
      </c>
      <c r="U417" s="2" t="n">
        <v>0</v>
      </c>
      <c r="V417" s="2" t="n">
        <v>1</v>
      </c>
      <c r="W417" s="2"/>
      <c r="X417" s="2" t="n">
        <v>0.13</v>
      </c>
      <c r="Y417" s="2" t="n">
        <v>0.8</v>
      </c>
      <c r="Z417" s="2" t="n">
        <v>0.1</v>
      </c>
      <c r="AA417" s="2" t="n">
        <v>16.7</v>
      </c>
      <c r="AB417" s="2"/>
      <c r="AC417" s="2" t="n">
        <v>5</v>
      </c>
      <c r="AD417" s="2" t="n">
        <v>0.6</v>
      </c>
      <c r="AE417" s="2" t="n">
        <v>1</v>
      </c>
      <c r="AF417" s="2" t="n">
        <v>15.6</v>
      </c>
      <c r="AG417" s="2" t="n">
        <v>71.8</v>
      </c>
      <c r="AH417" s="2" t="n">
        <v>0.4</v>
      </c>
      <c r="AI417" s="2" t="n">
        <v>18.8</v>
      </c>
      <c r="AJ417" s="2" t="n">
        <v>0.4</v>
      </c>
      <c r="AK417" s="2" t="n">
        <v>60</v>
      </c>
      <c r="AL417" s="2"/>
      <c r="AM417" s="2"/>
      <c r="AN417" s="2" t="n">
        <v>4.8</v>
      </c>
      <c r="AO417" s="2" t="n">
        <v>2.6</v>
      </c>
      <c r="AP417" s="2" t="n">
        <v>1.1</v>
      </c>
      <c r="AQ417" s="2" t="n">
        <v>0.9</v>
      </c>
      <c r="AR417" s="2" t="n">
        <v>0.1</v>
      </c>
      <c r="AS417" s="2" t="n">
        <v>2.5</v>
      </c>
      <c r="AT417" s="2" t="n">
        <v>0.3</v>
      </c>
      <c r="AU417" s="2" t="n">
        <v>1</v>
      </c>
      <c r="AV417" s="2" t="n">
        <v>1.5</v>
      </c>
      <c r="AW417" s="2" t="n">
        <v>4</v>
      </c>
      <c r="AX417" s="2"/>
      <c r="AY417" s="2" t="n">
        <v>1</v>
      </c>
      <c r="AZ417" s="2"/>
      <c r="BA417" s="2"/>
      <c r="BB417" s="2"/>
      <c r="BC417" s="2"/>
      <c r="BD417" s="4" t="s">
        <v>1528</v>
      </c>
    </row>
    <row r="418" customFormat="false" ht="15" hidden="false" customHeight="false" outlineLevel="0" collapsed="false">
      <c r="A418" s="2" t="n">
        <v>1005796</v>
      </c>
      <c r="B418" s="2" t="s">
        <v>1529</v>
      </c>
      <c r="C418" s="2" t="s">
        <v>1454</v>
      </c>
      <c r="D418" s="2" t="s">
        <v>341</v>
      </c>
      <c r="E418" s="2" t="s">
        <v>59</v>
      </c>
      <c r="F418" s="2" t="s">
        <v>137</v>
      </c>
      <c r="G418" s="2" t="s">
        <v>147</v>
      </c>
      <c r="H418" s="2" t="s">
        <v>147</v>
      </c>
      <c r="I418" s="2" t="n">
        <v>29</v>
      </c>
      <c r="J418" s="2" t="n">
        <v>27</v>
      </c>
      <c r="K418" s="2" t="s">
        <v>486</v>
      </c>
      <c r="L418" s="2" t="s">
        <v>1530</v>
      </c>
      <c r="M418" s="2" t="n">
        <v>188</v>
      </c>
      <c r="N418" s="3" t="n">
        <v>50000</v>
      </c>
      <c r="O418" s="2"/>
      <c r="P418" s="2" t="n">
        <v>19</v>
      </c>
      <c r="Q418" s="3" t="n">
        <v>650</v>
      </c>
      <c r="R418" s="2" t="n">
        <v>6.41</v>
      </c>
      <c r="S418" s="2" t="n">
        <v>0</v>
      </c>
      <c r="T418" s="2" t="n">
        <v>2</v>
      </c>
      <c r="U418" s="2" t="n">
        <v>0</v>
      </c>
      <c r="V418" s="2" t="n">
        <v>1</v>
      </c>
      <c r="W418" s="2"/>
      <c r="X418" s="2" t="n">
        <v>0.28</v>
      </c>
      <c r="Y418" s="2" t="n">
        <v>1.9</v>
      </c>
      <c r="Z418" s="2" t="n">
        <v>0.6</v>
      </c>
      <c r="AA418" s="2" t="n">
        <v>14.3</v>
      </c>
      <c r="AB418" s="2" t="n">
        <v>5</v>
      </c>
      <c r="AC418" s="2" t="n">
        <v>3</v>
      </c>
      <c r="AD418" s="2" t="n">
        <v>0.4</v>
      </c>
      <c r="AE418" s="2"/>
      <c r="AF418" s="2" t="n">
        <v>6.6</v>
      </c>
      <c r="AG418" s="2" t="n">
        <v>71.6</v>
      </c>
      <c r="AH418" s="2" t="n">
        <v>0.3</v>
      </c>
      <c r="AI418" s="2" t="n">
        <v>66.7</v>
      </c>
      <c r="AJ418" s="2"/>
      <c r="AK418" s="2"/>
      <c r="AL418" s="2"/>
      <c r="AM418" s="2"/>
      <c r="AN418" s="2" t="n">
        <v>3.2</v>
      </c>
      <c r="AO418" s="2" t="n">
        <v>0.6</v>
      </c>
      <c r="AP418" s="2" t="n">
        <v>0.6</v>
      </c>
      <c r="AQ418" s="2" t="n">
        <v>1.9</v>
      </c>
      <c r="AR418" s="2" t="n">
        <v>0.1</v>
      </c>
      <c r="AS418" s="2" t="n">
        <v>1.2</v>
      </c>
      <c r="AT418" s="2" t="n">
        <v>0.3</v>
      </c>
      <c r="AU418" s="2" t="n">
        <v>0.8</v>
      </c>
      <c r="AV418" s="2" t="n">
        <v>2.9</v>
      </c>
      <c r="AW418" s="2" t="n">
        <v>5</v>
      </c>
      <c r="AX418" s="2"/>
      <c r="AY418" s="2"/>
      <c r="AZ418" s="2"/>
      <c r="BA418" s="2"/>
      <c r="BB418" s="2"/>
      <c r="BC418" s="2"/>
      <c r="BD418" s="4" t="s">
        <v>1531</v>
      </c>
    </row>
    <row r="419" customFormat="false" ht="15" hidden="false" customHeight="false" outlineLevel="0" collapsed="false">
      <c r="A419" s="2" t="n">
        <v>1026140</v>
      </c>
      <c r="B419" s="2" t="s">
        <v>1532</v>
      </c>
      <c r="C419" s="2" t="s">
        <v>1454</v>
      </c>
      <c r="D419" s="2" t="s">
        <v>341</v>
      </c>
      <c r="E419" s="2" t="s">
        <v>59</v>
      </c>
      <c r="F419" s="2" t="s">
        <v>137</v>
      </c>
      <c r="G419" s="2" t="s">
        <v>147</v>
      </c>
      <c r="H419" s="2" t="s">
        <v>147</v>
      </c>
      <c r="I419" s="2" t="n">
        <v>9</v>
      </c>
      <c r="J419" s="2" t="n">
        <v>27</v>
      </c>
      <c r="K419" s="2" t="s">
        <v>1533</v>
      </c>
      <c r="L419" s="2" t="s">
        <v>67</v>
      </c>
      <c r="M419" s="2" t="n">
        <v>178</v>
      </c>
      <c r="N419" s="3" t="n">
        <v>62697</v>
      </c>
      <c r="O419" s="2"/>
      <c r="P419" s="2" t="n">
        <v>19</v>
      </c>
      <c r="Q419" s="3" t="n">
        <v>560</v>
      </c>
      <c r="R419" s="2" t="n">
        <v>6.21</v>
      </c>
      <c r="S419" s="2" t="n">
        <v>0</v>
      </c>
      <c r="T419" s="2" t="n">
        <v>1</v>
      </c>
      <c r="U419" s="2" t="n">
        <v>0</v>
      </c>
      <c r="V419" s="2"/>
      <c r="W419" s="2"/>
      <c r="X419" s="2" t="n">
        <v>0.16</v>
      </c>
      <c r="Y419" s="2" t="n">
        <v>1.4</v>
      </c>
      <c r="Z419" s="2" t="n">
        <v>0.2</v>
      </c>
      <c r="AA419" s="2" t="n">
        <v>11.1</v>
      </c>
      <c r="AB419" s="2" t="n">
        <v>2</v>
      </c>
      <c r="AC419" s="2" t="n">
        <v>5</v>
      </c>
      <c r="AD419" s="2" t="n">
        <v>0.8</v>
      </c>
      <c r="AE419" s="2" t="n">
        <v>1</v>
      </c>
      <c r="AF419" s="2" t="n">
        <v>15.8</v>
      </c>
      <c r="AG419" s="2" t="n">
        <v>79.7</v>
      </c>
      <c r="AH419" s="2" t="n">
        <v>0.6</v>
      </c>
      <c r="AI419" s="2" t="n">
        <v>100</v>
      </c>
      <c r="AJ419" s="2"/>
      <c r="AK419" s="2"/>
      <c r="AL419" s="2"/>
      <c r="AM419" s="2"/>
      <c r="AN419" s="2" t="n">
        <v>1.9</v>
      </c>
      <c r="AO419" s="2" t="n">
        <v>0.6</v>
      </c>
      <c r="AP419" s="2" t="n">
        <v>0.2</v>
      </c>
      <c r="AQ419" s="2" t="n">
        <v>0.6</v>
      </c>
      <c r="AR419" s="2" t="n">
        <v>0.5</v>
      </c>
      <c r="AS419" s="2" t="n">
        <v>2.1</v>
      </c>
      <c r="AT419" s="2" t="n">
        <v>0.2</v>
      </c>
      <c r="AU419" s="2" t="n">
        <v>1.4</v>
      </c>
      <c r="AV419" s="2" t="n">
        <v>3.2</v>
      </c>
      <c r="AW419" s="2" t="n">
        <v>1</v>
      </c>
      <c r="AX419" s="2"/>
      <c r="AY419" s="2"/>
      <c r="AZ419" s="2"/>
      <c r="BA419" s="2"/>
      <c r="BB419" s="2"/>
      <c r="BC419" s="2"/>
      <c r="BD419" s="4" t="s">
        <v>1534</v>
      </c>
    </row>
    <row r="420" customFormat="false" ht="15" hidden="false" customHeight="false" outlineLevel="0" collapsed="false">
      <c r="A420" s="2" t="n">
        <v>1780460</v>
      </c>
      <c r="B420" s="2" t="s">
        <v>1535</v>
      </c>
      <c r="C420" s="2" t="s">
        <v>1454</v>
      </c>
      <c r="D420" s="2" t="s">
        <v>341</v>
      </c>
      <c r="E420" s="2" t="s">
        <v>59</v>
      </c>
      <c r="F420" s="2" t="s">
        <v>137</v>
      </c>
      <c r="G420" s="2"/>
      <c r="H420" s="2"/>
      <c r="I420" s="2" t="n">
        <v>31</v>
      </c>
      <c r="J420" s="2" t="n">
        <v>21</v>
      </c>
      <c r="K420" s="2" t="s">
        <v>1536</v>
      </c>
      <c r="L420" s="2" t="s">
        <v>629</v>
      </c>
      <c r="M420" s="2" t="n">
        <v>180</v>
      </c>
      <c r="N420" s="3"/>
      <c r="O420" s="2"/>
      <c r="P420" s="2"/>
      <c r="Q420" s="3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4" t="s">
        <v>1537</v>
      </c>
    </row>
    <row r="421" customFormat="false" ht="15" hidden="false" customHeight="false" outlineLevel="0" collapsed="false">
      <c r="A421" s="2" t="n">
        <v>533126</v>
      </c>
      <c r="B421" s="2" t="s">
        <v>1538</v>
      </c>
      <c r="C421" s="2" t="s">
        <v>1539</v>
      </c>
      <c r="D421" s="2" t="s">
        <v>341</v>
      </c>
      <c r="E421" s="2" t="s">
        <v>59</v>
      </c>
      <c r="F421" s="2" t="s">
        <v>60</v>
      </c>
      <c r="G421" s="2" t="s">
        <v>61</v>
      </c>
      <c r="H421" s="2" t="s">
        <v>61</v>
      </c>
      <c r="I421" s="2" t="n">
        <v>1</v>
      </c>
      <c r="J421" s="2" t="n">
        <v>32</v>
      </c>
      <c r="K421" s="2" t="s">
        <v>1540</v>
      </c>
      <c r="L421" s="2" t="s">
        <v>67</v>
      </c>
      <c r="M421" s="2" t="n">
        <v>183</v>
      </c>
      <c r="N421" s="3" t="n">
        <v>50000</v>
      </c>
      <c r="O421" s="2"/>
      <c r="P421" s="2" t="n">
        <v>16</v>
      </c>
      <c r="Q421" s="3" t="n">
        <v>1377</v>
      </c>
      <c r="R421" s="2" t="n">
        <v>6.81</v>
      </c>
      <c r="S421" s="2" t="n">
        <v>1</v>
      </c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 t="n">
        <v>20.7</v>
      </c>
      <c r="AG421" s="2" t="n">
        <v>76</v>
      </c>
      <c r="AH421" s="2"/>
      <c r="AI421" s="2"/>
      <c r="AJ421" s="2"/>
      <c r="AK421" s="2"/>
      <c r="AL421" s="2"/>
      <c r="AM421" s="2"/>
      <c r="AN421" s="2" t="n">
        <v>1.2</v>
      </c>
      <c r="AO421" s="2" t="n">
        <v>0.1</v>
      </c>
      <c r="AP421" s="2"/>
      <c r="AQ421" s="2" t="n">
        <v>1.1</v>
      </c>
      <c r="AR421" s="2"/>
      <c r="AS421" s="2" t="n">
        <v>6.7</v>
      </c>
      <c r="AT421" s="2"/>
      <c r="AU421" s="2"/>
      <c r="AV421" s="2" t="n">
        <v>0.1</v>
      </c>
      <c r="AW421" s="2" t="n">
        <v>2</v>
      </c>
      <c r="AX421" s="2"/>
      <c r="AY421" s="2" t="n">
        <v>1</v>
      </c>
      <c r="AZ421" s="2" t="n">
        <v>5</v>
      </c>
      <c r="BA421" s="2" t="n">
        <v>3.3</v>
      </c>
      <c r="BB421" s="2" t="n">
        <v>71.4</v>
      </c>
      <c r="BC421" s="2" t="n">
        <v>1.3</v>
      </c>
      <c r="BD421" s="4" t="s">
        <v>1541</v>
      </c>
    </row>
    <row r="422" customFormat="false" ht="15" hidden="false" customHeight="false" outlineLevel="0" collapsed="false">
      <c r="A422" s="2" t="n">
        <v>198033</v>
      </c>
      <c r="B422" s="2" t="s">
        <v>1542</v>
      </c>
      <c r="C422" s="2" t="s">
        <v>1539</v>
      </c>
      <c r="D422" s="2" t="s">
        <v>341</v>
      </c>
      <c r="E422" s="2" t="s">
        <v>59</v>
      </c>
      <c r="F422" s="2" t="s">
        <v>60</v>
      </c>
      <c r="G422" s="2" t="s">
        <v>61</v>
      </c>
      <c r="H422" s="2" t="s">
        <v>61</v>
      </c>
      <c r="I422" s="2" t="n">
        <v>33</v>
      </c>
      <c r="J422" s="2" t="n">
        <v>33</v>
      </c>
      <c r="K422" s="2" t="s">
        <v>1543</v>
      </c>
      <c r="L422" s="2" t="s">
        <v>1544</v>
      </c>
      <c r="M422" s="2" t="n">
        <v>196</v>
      </c>
      <c r="N422" s="3" t="n">
        <v>50000</v>
      </c>
      <c r="O422" s="2"/>
      <c r="P422" s="2" t="n">
        <v>11</v>
      </c>
      <c r="Q422" s="3" t="n">
        <v>963</v>
      </c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 t="n">
        <v>1</v>
      </c>
      <c r="AX422" s="2" t="n">
        <v>1</v>
      </c>
      <c r="AY422" s="2"/>
      <c r="AZ422" s="2" t="n">
        <v>1</v>
      </c>
      <c r="BA422" s="2"/>
      <c r="BB422" s="2"/>
      <c r="BC422" s="2"/>
      <c r="BD422" s="4" t="s">
        <v>1545</v>
      </c>
    </row>
    <row r="423" customFormat="false" ht="15" hidden="false" customHeight="false" outlineLevel="0" collapsed="false">
      <c r="A423" s="2" t="n">
        <v>2221958</v>
      </c>
      <c r="B423" s="2" t="s">
        <v>1546</v>
      </c>
      <c r="C423" s="2" t="s">
        <v>1539</v>
      </c>
      <c r="D423" s="2" t="s">
        <v>341</v>
      </c>
      <c r="E423" s="2" t="s">
        <v>59</v>
      </c>
      <c r="F423" s="2" t="s">
        <v>60</v>
      </c>
      <c r="G423" s="2"/>
      <c r="H423" s="2"/>
      <c r="I423" s="2" t="n">
        <v>32</v>
      </c>
      <c r="J423" s="2" t="n">
        <v>23</v>
      </c>
      <c r="K423" s="2" t="s">
        <v>1547</v>
      </c>
      <c r="L423" s="2" t="s">
        <v>67</v>
      </c>
      <c r="M423" s="2" t="n">
        <v>185</v>
      </c>
      <c r="N423" s="3"/>
      <c r="O423" s="2"/>
      <c r="P423" s="2"/>
      <c r="Q423" s="3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4" t="s">
        <v>1548</v>
      </c>
    </row>
    <row r="424" customFormat="false" ht="15" hidden="false" customHeight="false" outlineLevel="0" collapsed="false">
      <c r="A424" s="2" t="n">
        <v>2141086</v>
      </c>
      <c r="B424" s="2" t="s">
        <v>1549</v>
      </c>
      <c r="C424" s="2" t="s">
        <v>1539</v>
      </c>
      <c r="D424" s="2" t="s">
        <v>341</v>
      </c>
      <c r="E424" s="2" t="s">
        <v>59</v>
      </c>
      <c r="F424" s="2" t="s">
        <v>60</v>
      </c>
      <c r="G424" s="2"/>
      <c r="H424" s="2"/>
      <c r="I424" s="2" t="n">
        <v>87</v>
      </c>
      <c r="J424" s="2" t="n">
        <v>17</v>
      </c>
      <c r="K424" s="2" t="s">
        <v>1550</v>
      </c>
      <c r="L424" s="2" t="s">
        <v>67</v>
      </c>
      <c r="M424" s="2" t="n">
        <v>185</v>
      </c>
      <c r="N424" s="3"/>
      <c r="O424" s="2"/>
      <c r="P424" s="2"/>
      <c r="Q424" s="3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4" t="s">
        <v>1551</v>
      </c>
    </row>
    <row r="425" customFormat="false" ht="15" hidden="false" customHeight="false" outlineLevel="0" collapsed="false">
      <c r="A425" s="2" t="n">
        <v>1252225</v>
      </c>
      <c r="B425" s="2" t="s">
        <v>1552</v>
      </c>
      <c r="C425" s="2" t="s">
        <v>1539</v>
      </c>
      <c r="D425" s="2" t="s">
        <v>341</v>
      </c>
      <c r="E425" s="2" t="s">
        <v>59</v>
      </c>
      <c r="F425" s="2" t="s">
        <v>70</v>
      </c>
      <c r="G425" s="2" t="s">
        <v>75</v>
      </c>
      <c r="H425" s="2" t="s">
        <v>352</v>
      </c>
      <c r="I425" s="2" t="n">
        <v>34</v>
      </c>
      <c r="J425" s="2" t="n">
        <v>25</v>
      </c>
      <c r="K425" s="2" t="s">
        <v>1553</v>
      </c>
      <c r="L425" s="2" t="s">
        <v>67</v>
      </c>
      <c r="M425" s="2" t="n">
        <v>192</v>
      </c>
      <c r="N425" s="3" t="n">
        <v>80651</v>
      </c>
      <c r="O425" s="2"/>
      <c r="P425" s="2" t="n">
        <v>23</v>
      </c>
      <c r="Q425" s="3" t="n">
        <v>2060</v>
      </c>
      <c r="R425" s="2" t="n">
        <v>6.86</v>
      </c>
      <c r="S425" s="2" t="n">
        <v>0</v>
      </c>
      <c r="T425" s="2"/>
      <c r="U425" s="2"/>
      <c r="V425" s="2" t="n">
        <v>1</v>
      </c>
      <c r="W425" s="2"/>
      <c r="X425" s="2"/>
      <c r="Y425" s="2" t="n">
        <v>0.3</v>
      </c>
      <c r="Z425" s="2" t="n">
        <v>0.1</v>
      </c>
      <c r="AA425" s="2" t="n">
        <v>0</v>
      </c>
      <c r="AB425" s="2" t="n">
        <v>2</v>
      </c>
      <c r="AC425" s="2" t="n">
        <v>5</v>
      </c>
      <c r="AD425" s="2" t="n">
        <v>0.2</v>
      </c>
      <c r="AE425" s="2" t="n">
        <v>2</v>
      </c>
      <c r="AF425" s="2" t="n">
        <v>49.2</v>
      </c>
      <c r="AG425" s="2" t="n">
        <v>88.4</v>
      </c>
      <c r="AH425" s="2" t="n">
        <v>3.1</v>
      </c>
      <c r="AI425" s="2" t="n">
        <v>48.6</v>
      </c>
      <c r="AJ425" s="2" t="n">
        <v>0.3</v>
      </c>
      <c r="AK425" s="2" t="n">
        <v>72.7</v>
      </c>
      <c r="AL425" s="2"/>
      <c r="AM425" s="2"/>
      <c r="AN425" s="2" t="n">
        <v>6.9</v>
      </c>
      <c r="AO425" s="2" t="n">
        <v>1.3</v>
      </c>
      <c r="AP425" s="2" t="n">
        <v>0.5</v>
      </c>
      <c r="AQ425" s="2" t="n">
        <v>4.5</v>
      </c>
      <c r="AR425" s="2" t="n">
        <v>0.6</v>
      </c>
      <c r="AS425" s="2" t="n">
        <v>3.4</v>
      </c>
      <c r="AT425" s="2" t="n">
        <v>0</v>
      </c>
      <c r="AU425" s="2" t="n">
        <v>1.5</v>
      </c>
      <c r="AV425" s="2" t="n">
        <v>0.9</v>
      </c>
      <c r="AW425" s="2" t="n">
        <v>4</v>
      </c>
      <c r="AX425" s="2"/>
      <c r="AY425" s="2"/>
      <c r="AZ425" s="2"/>
      <c r="BA425" s="2"/>
      <c r="BB425" s="2"/>
      <c r="BC425" s="2"/>
      <c r="BD425" s="4" t="s">
        <v>1554</v>
      </c>
    </row>
    <row r="426" customFormat="false" ht="15" hidden="false" customHeight="false" outlineLevel="0" collapsed="false">
      <c r="A426" s="2" t="n">
        <v>1919772</v>
      </c>
      <c r="B426" s="2" t="s">
        <v>1555</v>
      </c>
      <c r="C426" s="2" t="s">
        <v>1539</v>
      </c>
      <c r="D426" s="2" t="s">
        <v>341</v>
      </c>
      <c r="E426" s="2" t="s">
        <v>59</v>
      </c>
      <c r="F426" s="2" t="s">
        <v>70</v>
      </c>
      <c r="G426" s="2" t="s">
        <v>71</v>
      </c>
      <c r="H426" s="2" t="s">
        <v>1015</v>
      </c>
      <c r="I426" s="2" t="n">
        <v>11</v>
      </c>
      <c r="J426" s="2" t="n">
        <v>25</v>
      </c>
      <c r="K426" s="2" t="s">
        <v>1556</v>
      </c>
      <c r="L426" s="2" t="s">
        <v>319</v>
      </c>
      <c r="M426" s="2" t="n">
        <v>180</v>
      </c>
      <c r="N426" s="3" t="n">
        <v>94487</v>
      </c>
      <c r="O426" s="2"/>
      <c r="P426" s="2" t="n">
        <v>24</v>
      </c>
      <c r="Q426" s="3" t="n">
        <v>1775</v>
      </c>
      <c r="R426" s="2" t="n">
        <v>6.95</v>
      </c>
      <c r="S426" s="2" t="n">
        <v>2</v>
      </c>
      <c r="T426" s="2"/>
      <c r="U426" s="2"/>
      <c r="V426" s="2" t="n">
        <v>5</v>
      </c>
      <c r="W426" s="2"/>
      <c r="X426" s="2"/>
      <c r="Y426" s="2" t="n">
        <v>0.8</v>
      </c>
      <c r="Z426" s="2" t="n">
        <v>0.2</v>
      </c>
      <c r="AA426" s="2" t="n">
        <v>0</v>
      </c>
      <c r="AB426" s="2" t="n">
        <v>2</v>
      </c>
      <c r="AC426" s="2" t="n">
        <v>38</v>
      </c>
      <c r="AD426" s="2" t="n">
        <v>1.9</v>
      </c>
      <c r="AE426" s="2" t="n">
        <v>11</v>
      </c>
      <c r="AF426" s="2" t="n">
        <v>37.6</v>
      </c>
      <c r="AG426" s="2" t="n">
        <v>80</v>
      </c>
      <c r="AH426" s="2" t="n">
        <v>2.5</v>
      </c>
      <c r="AI426" s="2" t="n">
        <v>44.2</v>
      </c>
      <c r="AJ426" s="2" t="n">
        <v>0.5</v>
      </c>
      <c r="AK426" s="2" t="n">
        <v>25</v>
      </c>
      <c r="AL426" s="2"/>
      <c r="AM426" s="2"/>
      <c r="AN426" s="2" t="n">
        <v>5.1</v>
      </c>
      <c r="AO426" s="2" t="n">
        <v>1.8</v>
      </c>
      <c r="AP426" s="2" t="n">
        <v>1.2</v>
      </c>
      <c r="AQ426" s="2" t="n">
        <v>1.7</v>
      </c>
      <c r="AR426" s="2" t="n">
        <v>0.4</v>
      </c>
      <c r="AS426" s="2" t="n">
        <v>4.7</v>
      </c>
      <c r="AT426" s="2" t="n">
        <v>0.3</v>
      </c>
      <c r="AU426" s="2" t="n">
        <v>1.8</v>
      </c>
      <c r="AV426" s="2" t="n">
        <v>1.2</v>
      </c>
      <c r="AW426" s="2" t="n">
        <v>5</v>
      </c>
      <c r="AX426" s="2"/>
      <c r="AY426" s="2"/>
      <c r="AZ426" s="2"/>
      <c r="BA426" s="2"/>
      <c r="BB426" s="2"/>
      <c r="BC426" s="2"/>
      <c r="BD426" s="4" t="s">
        <v>1557</v>
      </c>
    </row>
    <row r="427" customFormat="false" ht="15" hidden="false" customHeight="false" outlineLevel="0" collapsed="false">
      <c r="A427" s="2" t="n">
        <v>675103</v>
      </c>
      <c r="B427" s="2" t="s">
        <v>1558</v>
      </c>
      <c r="C427" s="2" t="s">
        <v>1539</v>
      </c>
      <c r="D427" s="2" t="s">
        <v>341</v>
      </c>
      <c r="E427" s="2" t="s">
        <v>59</v>
      </c>
      <c r="F427" s="2" t="s">
        <v>70</v>
      </c>
      <c r="G427" s="2" t="s">
        <v>75</v>
      </c>
      <c r="H427" s="2" t="s">
        <v>75</v>
      </c>
      <c r="I427" s="2" t="n">
        <v>15</v>
      </c>
      <c r="J427" s="2" t="n">
        <v>31</v>
      </c>
      <c r="K427" s="2" t="s">
        <v>1559</v>
      </c>
      <c r="L427" s="2" t="s">
        <v>861</v>
      </c>
      <c r="M427" s="2" t="n">
        <v>185</v>
      </c>
      <c r="N427" s="3" t="n">
        <v>50000</v>
      </c>
      <c r="O427" s="2"/>
      <c r="P427" s="2" t="n">
        <v>21</v>
      </c>
      <c r="Q427" s="3" t="n">
        <v>1480</v>
      </c>
      <c r="R427" s="2" t="n">
        <v>6.73</v>
      </c>
      <c r="S427" s="2" t="n">
        <v>1</v>
      </c>
      <c r="T427" s="2"/>
      <c r="U427" s="2"/>
      <c r="V427" s="2" t="n">
        <v>1</v>
      </c>
      <c r="W427" s="2"/>
      <c r="X427" s="2"/>
      <c r="Y427" s="2" t="n">
        <v>0.4</v>
      </c>
      <c r="Z427" s="2" t="n">
        <v>0.1</v>
      </c>
      <c r="AA427" s="2" t="n">
        <v>0</v>
      </c>
      <c r="AB427" s="2" t="n">
        <v>1</v>
      </c>
      <c r="AC427" s="2" t="n">
        <v>5</v>
      </c>
      <c r="AD427" s="2" t="n">
        <v>0.3</v>
      </c>
      <c r="AE427" s="2"/>
      <c r="AF427" s="2" t="n">
        <v>58.9</v>
      </c>
      <c r="AG427" s="2" t="n">
        <v>87</v>
      </c>
      <c r="AH427" s="2" t="n">
        <v>5.1</v>
      </c>
      <c r="AI427" s="2" t="n">
        <v>48.6</v>
      </c>
      <c r="AJ427" s="2" t="n">
        <v>0.2</v>
      </c>
      <c r="AK427" s="2" t="n">
        <v>57.1</v>
      </c>
      <c r="AL427" s="2"/>
      <c r="AM427" s="2"/>
      <c r="AN427" s="2" t="n">
        <v>8.4</v>
      </c>
      <c r="AO427" s="2" t="n">
        <v>0.6</v>
      </c>
      <c r="AP427" s="2" t="n">
        <v>0.7</v>
      </c>
      <c r="AQ427" s="2" t="n">
        <v>5.8</v>
      </c>
      <c r="AR427" s="2" t="n">
        <v>1.3</v>
      </c>
      <c r="AS427" s="2" t="n">
        <v>4.3</v>
      </c>
      <c r="AT427" s="2" t="n">
        <v>0.1</v>
      </c>
      <c r="AU427" s="2" t="n">
        <v>1.9</v>
      </c>
      <c r="AV427" s="2" t="n">
        <v>0.5</v>
      </c>
      <c r="AW427" s="2" t="n">
        <v>3</v>
      </c>
      <c r="AX427" s="2" t="n">
        <v>1</v>
      </c>
      <c r="AY427" s="2"/>
      <c r="AZ427" s="2"/>
      <c r="BA427" s="2"/>
      <c r="BB427" s="2"/>
      <c r="BC427" s="2"/>
      <c r="BD427" s="4" t="s">
        <v>1560</v>
      </c>
    </row>
    <row r="428" customFormat="false" ht="15" hidden="false" customHeight="false" outlineLevel="0" collapsed="false">
      <c r="A428" s="2" t="n">
        <v>1366626</v>
      </c>
      <c r="B428" s="2" t="s">
        <v>1561</v>
      </c>
      <c r="C428" s="2" t="s">
        <v>1539</v>
      </c>
      <c r="D428" s="2" t="s">
        <v>341</v>
      </c>
      <c r="E428" s="2" t="s">
        <v>59</v>
      </c>
      <c r="F428" s="2" t="s">
        <v>70</v>
      </c>
      <c r="G428" s="2" t="s">
        <v>71</v>
      </c>
      <c r="H428" s="2" t="s">
        <v>176</v>
      </c>
      <c r="I428" s="2" t="n">
        <v>23</v>
      </c>
      <c r="J428" s="2" t="n">
        <v>26</v>
      </c>
      <c r="K428" s="2" t="s">
        <v>951</v>
      </c>
      <c r="L428" s="2" t="s">
        <v>67</v>
      </c>
      <c r="M428" s="2" t="n">
        <v>188</v>
      </c>
      <c r="N428" s="3" t="n">
        <v>92386</v>
      </c>
      <c r="O428" s="2"/>
      <c r="P428" s="2" t="n">
        <v>21</v>
      </c>
      <c r="Q428" s="3" t="n">
        <v>1111</v>
      </c>
      <c r="R428" s="2" t="n">
        <v>6.8</v>
      </c>
      <c r="S428" s="2" t="n">
        <v>0</v>
      </c>
      <c r="T428" s="2" t="n">
        <v>1</v>
      </c>
      <c r="U428" s="2" t="n">
        <v>0</v>
      </c>
      <c r="V428" s="2"/>
      <c r="W428" s="2"/>
      <c r="X428" s="2" t="n">
        <v>0.08</v>
      </c>
      <c r="Y428" s="2" t="n">
        <v>1.2</v>
      </c>
      <c r="Z428" s="2" t="n">
        <v>0.3</v>
      </c>
      <c r="AA428" s="2" t="n">
        <v>6.7</v>
      </c>
      <c r="AB428" s="2"/>
      <c r="AC428" s="2" t="n">
        <v>8</v>
      </c>
      <c r="AD428" s="2" t="n">
        <v>0.6</v>
      </c>
      <c r="AE428" s="2" t="n">
        <v>2</v>
      </c>
      <c r="AF428" s="2" t="n">
        <v>38.6</v>
      </c>
      <c r="AG428" s="2" t="n">
        <v>81.4</v>
      </c>
      <c r="AH428" s="2" t="n">
        <v>1.5</v>
      </c>
      <c r="AI428" s="2" t="n">
        <v>36</v>
      </c>
      <c r="AJ428" s="2" t="n">
        <v>0.4</v>
      </c>
      <c r="AK428" s="2" t="n">
        <v>35.7</v>
      </c>
      <c r="AL428" s="2"/>
      <c r="AM428" s="2"/>
      <c r="AN428" s="2" t="n">
        <v>7</v>
      </c>
      <c r="AO428" s="2" t="n">
        <v>2.6</v>
      </c>
      <c r="AP428" s="2" t="n">
        <v>0.9</v>
      </c>
      <c r="AQ428" s="2" t="n">
        <v>3</v>
      </c>
      <c r="AR428" s="2" t="n">
        <v>0.6</v>
      </c>
      <c r="AS428" s="2" t="n">
        <v>4.1</v>
      </c>
      <c r="AT428" s="2" t="n">
        <v>0.3</v>
      </c>
      <c r="AU428" s="2" t="n">
        <v>1.7</v>
      </c>
      <c r="AV428" s="2" t="n">
        <v>1.5</v>
      </c>
      <c r="AW428" s="2" t="n">
        <v>1</v>
      </c>
      <c r="AX428" s="2"/>
      <c r="AY428" s="2"/>
      <c r="AZ428" s="2"/>
      <c r="BA428" s="2"/>
      <c r="BB428" s="2"/>
      <c r="BC428" s="2"/>
      <c r="BD428" s="4" t="s">
        <v>1562</v>
      </c>
    </row>
    <row r="429" customFormat="false" ht="15" hidden="false" customHeight="false" outlineLevel="0" collapsed="false">
      <c r="A429" s="2" t="n">
        <v>1520643</v>
      </c>
      <c r="B429" s="2" t="s">
        <v>1563</v>
      </c>
      <c r="C429" s="2" t="s">
        <v>1539</v>
      </c>
      <c r="D429" s="2" t="s">
        <v>341</v>
      </c>
      <c r="E429" s="2" t="s">
        <v>59</v>
      </c>
      <c r="F429" s="2" t="s">
        <v>70</v>
      </c>
      <c r="G429" s="2" t="s">
        <v>75</v>
      </c>
      <c r="H429" s="2" t="s">
        <v>75</v>
      </c>
      <c r="I429" s="2" t="n">
        <v>5</v>
      </c>
      <c r="J429" s="2" t="n">
        <v>26</v>
      </c>
      <c r="K429" s="2" t="s">
        <v>1564</v>
      </c>
      <c r="L429" s="2" t="s">
        <v>319</v>
      </c>
      <c r="M429" s="2" t="n">
        <v>185</v>
      </c>
      <c r="N429" s="3" t="n">
        <v>67826</v>
      </c>
      <c r="O429" s="2"/>
      <c r="P429" s="2" t="n">
        <v>14</v>
      </c>
      <c r="Q429" s="3" t="n">
        <v>1081</v>
      </c>
      <c r="R429" s="2" t="n">
        <v>7.05</v>
      </c>
      <c r="S429" s="2" t="n">
        <v>1</v>
      </c>
      <c r="T429" s="2"/>
      <c r="U429" s="2"/>
      <c r="V429" s="2" t="n">
        <v>1</v>
      </c>
      <c r="W429" s="2"/>
      <c r="X429" s="2"/>
      <c r="Y429" s="2" t="n">
        <v>0.8</v>
      </c>
      <c r="Z429" s="2" t="n">
        <v>0.2</v>
      </c>
      <c r="AA429" s="2" t="n">
        <v>0</v>
      </c>
      <c r="AB429" s="2" t="n">
        <v>1</v>
      </c>
      <c r="AC429" s="2" t="n">
        <v>5</v>
      </c>
      <c r="AD429" s="2" t="n">
        <v>0.4</v>
      </c>
      <c r="AE429" s="2"/>
      <c r="AF429" s="2" t="n">
        <v>41.1</v>
      </c>
      <c r="AG429" s="2" t="n">
        <v>82.2</v>
      </c>
      <c r="AH429" s="2" t="n">
        <v>4.2</v>
      </c>
      <c r="AI429" s="2" t="n">
        <v>46.3</v>
      </c>
      <c r="AJ429" s="2"/>
      <c r="AK429" s="2"/>
      <c r="AL429" s="2"/>
      <c r="AM429" s="2"/>
      <c r="AN429" s="2" t="n">
        <v>11.5</v>
      </c>
      <c r="AO429" s="2" t="n">
        <v>1.1</v>
      </c>
      <c r="AP429" s="2" t="n">
        <v>0.7</v>
      </c>
      <c r="AQ429" s="2" t="n">
        <v>9</v>
      </c>
      <c r="AR429" s="2" t="n">
        <v>0.7</v>
      </c>
      <c r="AS429" s="2" t="n">
        <v>2.9</v>
      </c>
      <c r="AT429" s="2"/>
      <c r="AU429" s="2"/>
      <c r="AV429" s="2" t="n">
        <v>1.5</v>
      </c>
      <c r="AW429" s="2" t="n">
        <v>3</v>
      </c>
      <c r="AX429" s="2"/>
      <c r="AY429" s="2"/>
      <c r="AZ429" s="2"/>
      <c r="BA429" s="2"/>
      <c r="BB429" s="2"/>
      <c r="BC429" s="2"/>
      <c r="BD429" s="4" t="s">
        <v>1565</v>
      </c>
    </row>
    <row r="430" customFormat="false" ht="15" hidden="false" customHeight="false" outlineLevel="0" collapsed="false">
      <c r="A430" s="2" t="n">
        <v>1439996</v>
      </c>
      <c r="B430" s="2" t="s">
        <v>1566</v>
      </c>
      <c r="C430" s="2" t="s">
        <v>1539</v>
      </c>
      <c r="D430" s="2" t="s">
        <v>341</v>
      </c>
      <c r="E430" s="2" t="s">
        <v>59</v>
      </c>
      <c r="F430" s="2" t="s">
        <v>70</v>
      </c>
      <c r="G430" s="2" t="s">
        <v>92</v>
      </c>
      <c r="H430" s="2" t="s">
        <v>92</v>
      </c>
      <c r="I430" s="2" t="n">
        <v>17</v>
      </c>
      <c r="J430" s="2" t="n">
        <v>26</v>
      </c>
      <c r="K430" s="2" t="s">
        <v>1567</v>
      </c>
      <c r="L430" s="2" t="s">
        <v>67</v>
      </c>
      <c r="M430" s="2" t="n">
        <v>180</v>
      </c>
      <c r="N430" s="3" t="n">
        <v>76476</v>
      </c>
      <c r="O430" s="2"/>
      <c r="P430" s="2" t="n">
        <v>15</v>
      </c>
      <c r="Q430" s="3" t="n">
        <v>959</v>
      </c>
      <c r="R430" s="2" t="n">
        <v>6.64</v>
      </c>
      <c r="S430" s="2" t="n">
        <v>0</v>
      </c>
      <c r="T430" s="2"/>
      <c r="U430" s="2"/>
      <c r="V430" s="2" t="n">
        <v>1</v>
      </c>
      <c r="W430" s="2"/>
      <c r="X430" s="2"/>
      <c r="Y430" s="2" t="n">
        <v>0.5</v>
      </c>
      <c r="Z430" s="2" t="n">
        <v>0.1</v>
      </c>
      <c r="AA430" s="2" t="n">
        <v>0</v>
      </c>
      <c r="AB430" s="2"/>
      <c r="AC430" s="2" t="n">
        <v>11</v>
      </c>
      <c r="AD430" s="2" t="n">
        <v>1</v>
      </c>
      <c r="AE430" s="2" t="n">
        <v>3</v>
      </c>
      <c r="AF430" s="2" t="n">
        <v>34.4</v>
      </c>
      <c r="AG430" s="2" t="n">
        <v>78.1</v>
      </c>
      <c r="AH430" s="2" t="n">
        <v>1.5</v>
      </c>
      <c r="AI430" s="2" t="n">
        <v>29.6</v>
      </c>
      <c r="AJ430" s="2" t="n">
        <v>0.3</v>
      </c>
      <c r="AK430" s="2" t="n">
        <v>30</v>
      </c>
      <c r="AL430" s="2"/>
      <c r="AM430" s="2"/>
      <c r="AN430" s="2" t="n">
        <v>5.5</v>
      </c>
      <c r="AO430" s="2" t="n">
        <v>1.1</v>
      </c>
      <c r="AP430" s="2" t="n">
        <v>0.8</v>
      </c>
      <c r="AQ430" s="2" t="n">
        <v>3.5</v>
      </c>
      <c r="AR430" s="2" t="n">
        <v>0.1</v>
      </c>
      <c r="AS430" s="2" t="n">
        <v>2.4</v>
      </c>
      <c r="AT430" s="2" t="n">
        <v>0.1</v>
      </c>
      <c r="AU430" s="2" t="n">
        <v>1</v>
      </c>
      <c r="AV430" s="2" t="n">
        <v>0.9</v>
      </c>
      <c r="AW430" s="2" t="n">
        <v>4</v>
      </c>
      <c r="AX430" s="2"/>
      <c r="AY430" s="2"/>
      <c r="AZ430" s="2"/>
      <c r="BA430" s="2"/>
      <c r="BB430" s="2"/>
      <c r="BC430" s="2"/>
      <c r="BD430" s="4" t="s">
        <v>1568</v>
      </c>
    </row>
    <row r="431" customFormat="false" ht="15" hidden="false" customHeight="false" outlineLevel="0" collapsed="false">
      <c r="A431" s="2" t="n">
        <v>1675563</v>
      </c>
      <c r="B431" s="2" t="s">
        <v>1569</v>
      </c>
      <c r="C431" s="2" t="s">
        <v>1539</v>
      </c>
      <c r="D431" s="2" t="s">
        <v>341</v>
      </c>
      <c r="E431" s="2" t="s">
        <v>59</v>
      </c>
      <c r="F431" s="2" t="s">
        <v>70</v>
      </c>
      <c r="G431" s="2" t="s">
        <v>92</v>
      </c>
      <c r="H431" s="2" t="s">
        <v>1570</v>
      </c>
      <c r="I431" s="2" t="n">
        <v>20</v>
      </c>
      <c r="J431" s="2" t="n">
        <v>25</v>
      </c>
      <c r="K431" s="2" t="s">
        <v>1571</v>
      </c>
      <c r="L431" s="2" t="s">
        <v>67</v>
      </c>
      <c r="M431" s="2" t="n">
        <v>178</v>
      </c>
      <c r="N431" s="3" t="n">
        <v>66895</v>
      </c>
      <c r="O431" s="2"/>
      <c r="P431" s="2" t="n">
        <v>9</v>
      </c>
      <c r="Q431" s="3" t="n">
        <v>658</v>
      </c>
      <c r="R431" s="2"/>
      <c r="S431" s="2"/>
      <c r="T431" s="2" t="n">
        <v>1</v>
      </c>
      <c r="U431" s="2" t="n">
        <v>0</v>
      </c>
      <c r="V431" s="2" t="n">
        <v>1</v>
      </c>
      <c r="W431" s="2"/>
      <c r="X431" s="2"/>
      <c r="Y431" s="2"/>
      <c r="Z431" s="2"/>
      <c r="AA431" s="2"/>
      <c r="AB431" s="2"/>
      <c r="AC431" s="2" t="n">
        <v>2</v>
      </c>
      <c r="AD431" s="2" t="n">
        <v>0.3</v>
      </c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 t="n">
        <v>2</v>
      </c>
      <c r="AX431" s="2"/>
      <c r="AY431" s="2"/>
      <c r="AZ431" s="2"/>
      <c r="BA431" s="2"/>
      <c r="BB431" s="2"/>
      <c r="BC431" s="2"/>
      <c r="BD431" s="4" t="s">
        <v>1572</v>
      </c>
    </row>
    <row r="432" customFormat="false" ht="15" hidden="false" customHeight="false" outlineLevel="0" collapsed="false">
      <c r="A432" s="2" t="n">
        <v>1928454</v>
      </c>
      <c r="B432" s="2" t="s">
        <v>1573</v>
      </c>
      <c r="C432" s="2" t="s">
        <v>1539</v>
      </c>
      <c r="D432" s="2" t="s">
        <v>341</v>
      </c>
      <c r="E432" s="2" t="s">
        <v>59</v>
      </c>
      <c r="F432" s="2" t="s">
        <v>70</v>
      </c>
      <c r="G432" s="2" t="s">
        <v>75</v>
      </c>
      <c r="H432" s="2" t="s">
        <v>75</v>
      </c>
      <c r="I432" s="2" t="n">
        <v>42</v>
      </c>
      <c r="J432" s="2" t="n">
        <v>20</v>
      </c>
      <c r="K432" s="2" t="s">
        <v>1574</v>
      </c>
      <c r="L432" s="2" t="s">
        <v>67</v>
      </c>
      <c r="M432" s="2" t="n">
        <v>183</v>
      </c>
      <c r="N432" s="3"/>
      <c r="O432" s="2"/>
      <c r="P432" s="2" t="n">
        <v>1</v>
      </c>
      <c r="Q432" s="3" t="n">
        <v>1</v>
      </c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 t="n">
        <v>1</v>
      </c>
      <c r="AD432" s="2" t="n">
        <v>90</v>
      </c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4" t="s">
        <v>1575</v>
      </c>
    </row>
    <row r="433" customFormat="false" ht="15" hidden="false" customHeight="false" outlineLevel="0" collapsed="false">
      <c r="A433" s="2" t="n">
        <v>1919767</v>
      </c>
      <c r="B433" s="2" t="s">
        <v>1576</v>
      </c>
      <c r="C433" s="2" t="s">
        <v>1539</v>
      </c>
      <c r="D433" s="2" t="s">
        <v>341</v>
      </c>
      <c r="E433" s="2" t="s">
        <v>59</v>
      </c>
      <c r="F433" s="2" t="s">
        <v>70</v>
      </c>
      <c r="G433" s="2"/>
      <c r="H433" s="2"/>
      <c r="I433" s="2" t="n">
        <v>55</v>
      </c>
      <c r="J433" s="2" t="n">
        <v>18</v>
      </c>
      <c r="K433" s="2" t="s">
        <v>968</v>
      </c>
      <c r="L433" s="2" t="s">
        <v>590</v>
      </c>
      <c r="M433" s="2" t="n">
        <v>170</v>
      </c>
      <c r="N433" s="3"/>
      <c r="O433" s="2"/>
      <c r="P433" s="2"/>
      <c r="Q433" s="3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4" t="s">
        <v>1577</v>
      </c>
    </row>
    <row r="434" customFormat="false" ht="15" hidden="false" customHeight="false" outlineLevel="0" collapsed="false">
      <c r="A434" s="2" t="n">
        <v>2303358</v>
      </c>
      <c r="B434" s="2" t="s">
        <v>1578</v>
      </c>
      <c r="C434" s="2" t="s">
        <v>1539</v>
      </c>
      <c r="D434" s="2" t="s">
        <v>341</v>
      </c>
      <c r="E434" s="2" t="s">
        <v>59</v>
      </c>
      <c r="F434" s="2" t="s">
        <v>70</v>
      </c>
      <c r="G434" s="2"/>
      <c r="H434" s="2"/>
      <c r="I434" s="2" t="n">
        <v>67</v>
      </c>
      <c r="J434" s="2" t="n">
        <v>17</v>
      </c>
      <c r="K434" s="2" t="s">
        <v>1579</v>
      </c>
      <c r="L434" s="2" t="s">
        <v>67</v>
      </c>
      <c r="M434" s="2" t="n">
        <v>180</v>
      </c>
      <c r="N434" s="3"/>
      <c r="O434" s="2"/>
      <c r="P434" s="2"/>
      <c r="Q434" s="3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4" t="s">
        <v>1580</v>
      </c>
    </row>
    <row r="435" customFormat="false" ht="15" hidden="false" customHeight="false" outlineLevel="0" collapsed="false">
      <c r="A435" s="2" t="n">
        <v>741993</v>
      </c>
      <c r="B435" s="2" t="s">
        <v>1581</v>
      </c>
      <c r="C435" s="2" t="s">
        <v>1539</v>
      </c>
      <c r="D435" s="2" t="s">
        <v>341</v>
      </c>
      <c r="E435" s="2" t="s">
        <v>59</v>
      </c>
      <c r="F435" s="2" t="s">
        <v>102</v>
      </c>
      <c r="G435" s="2" t="s">
        <v>404</v>
      </c>
      <c r="H435" s="2" t="s">
        <v>597</v>
      </c>
      <c r="I435" s="2" t="n">
        <v>4</v>
      </c>
      <c r="J435" s="2" t="n">
        <v>28</v>
      </c>
      <c r="K435" s="2" t="s">
        <v>870</v>
      </c>
      <c r="L435" s="2" t="s">
        <v>67</v>
      </c>
      <c r="M435" s="2" t="n">
        <v>180</v>
      </c>
      <c r="N435" s="3" t="n">
        <v>50000</v>
      </c>
      <c r="O435" s="2"/>
      <c r="P435" s="2" t="n">
        <v>24</v>
      </c>
      <c r="Q435" s="3" t="n">
        <v>2021</v>
      </c>
      <c r="R435" s="2" t="n">
        <v>6.81</v>
      </c>
      <c r="S435" s="2" t="n">
        <v>0</v>
      </c>
      <c r="T435" s="2"/>
      <c r="U435" s="2"/>
      <c r="V435" s="2" t="n">
        <v>2</v>
      </c>
      <c r="W435" s="2"/>
      <c r="X435" s="2"/>
      <c r="Y435" s="2" t="n">
        <v>0.8</v>
      </c>
      <c r="Z435" s="2" t="n">
        <v>0.1</v>
      </c>
      <c r="AA435" s="2" t="n">
        <v>0</v>
      </c>
      <c r="AB435" s="2" t="n">
        <v>1</v>
      </c>
      <c r="AC435" s="2" t="n">
        <v>16</v>
      </c>
      <c r="AD435" s="2" t="n">
        <v>0.7</v>
      </c>
      <c r="AE435" s="2" t="n">
        <v>2</v>
      </c>
      <c r="AF435" s="2" t="n">
        <v>65.7</v>
      </c>
      <c r="AG435" s="2" t="n">
        <v>89.5</v>
      </c>
      <c r="AH435" s="2" t="n">
        <v>3.3</v>
      </c>
      <c r="AI435" s="2" t="n">
        <v>48.7</v>
      </c>
      <c r="AJ435" s="2"/>
      <c r="AK435" s="2"/>
      <c r="AL435" s="2"/>
      <c r="AM435" s="2"/>
      <c r="AN435" s="2" t="n">
        <v>3.7</v>
      </c>
      <c r="AO435" s="2" t="n">
        <v>0.5</v>
      </c>
      <c r="AP435" s="2" t="n">
        <v>0.7</v>
      </c>
      <c r="AQ435" s="2" t="n">
        <v>2</v>
      </c>
      <c r="AR435" s="2" t="n">
        <v>0.4</v>
      </c>
      <c r="AS435" s="2" t="n">
        <v>4.1</v>
      </c>
      <c r="AT435" s="2" t="n">
        <v>0.3</v>
      </c>
      <c r="AU435" s="2" t="n">
        <v>2.1</v>
      </c>
      <c r="AV435" s="2" t="n">
        <v>0.5</v>
      </c>
      <c r="AW435" s="2" t="n">
        <v>6</v>
      </c>
      <c r="AX435" s="2"/>
      <c r="AY435" s="2"/>
      <c r="AZ435" s="2"/>
      <c r="BA435" s="2"/>
      <c r="BB435" s="2"/>
      <c r="BC435" s="2"/>
      <c r="BD435" s="4" t="s">
        <v>1582</v>
      </c>
    </row>
    <row r="436" customFormat="false" ht="15" hidden="false" customHeight="false" outlineLevel="0" collapsed="false">
      <c r="A436" s="2" t="n">
        <v>1242220</v>
      </c>
      <c r="B436" s="2" t="s">
        <v>1583</v>
      </c>
      <c r="C436" s="2" t="s">
        <v>1539</v>
      </c>
      <c r="D436" s="2" t="s">
        <v>341</v>
      </c>
      <c r="E436" s="2" t="s">
        <v>59</v>
      </c>
      <c r="F436" s="2" t="s">
        <v>102</v>
      </c>
      <c r="G436" s="2" t="s">
        <v>404</v>
      </c>
      <c r="H436" s="2" t="s">
        <v>605</v>
      </c>
      <c r="I436" s="2" t="n">
        <v>6</v>
      </c>
      <c r="J436" s="2" t="n">
        <v>24</v>
      </c>
      <c r="K436" s="2" t="s">
        <v>1584</v>
      </c>
      <c r="L436" s="2" t="s">
        <v>413</v>
      </c>
      <c r="M436" s="2" t="n">
        <v>178</v>
      </c>
      <c r="N436" s="3" t="n">
        <v>71114</v>
      </c>
      <c r="O436" s="2"/>
      <c r="P436" s="2" t="n">
        <v>24</v>
      </c>
      <c r="Q436" s="3" t="n">
        <v>1871</v>
      </c>
      <c r="R436" s="2" t="n">
        <v>6.77</v>
      </c>
      <c r="S436" s="2" t="n">
        <v>1</v>
      </c>
      <c r="T436" s="2"/>
      <c r="U436" s="2"/>
      <c r="V436" s="2" t="n">
        <v>1</v>
      </c>
      <c r="W436" s="2"/>
      <c r="X436" s="2"/>
      <c r="Y436" s="2" t="n">
        <v>1</v>
      </c>
      <c r="Z436" s="2" t="n">
        <v>0.1</v>
      </c>
      <c r="AA436" s="2" t="n">
        <v>0</v>
      </c>
      <c r="AB436" s="2"/>
      <c r="AC436" s="2" t="n">
        <v>8</v>
      </c>
      <c r="AD436" s="2" t="n">
        <v>0.4</v>
      </c>
      <c r="AE436" s="2" t="n">
        <v>2</v>
      </c>
      <c r="AF436" s="2" t="n">
        <v>43.7</v>
      </c>
      <c r="AG436" s="2" t="n">
        <v>85.4</v>
      </c>
      <c r="AH436" s="2" t="n">
        <v>3.1</v>
      </c>
      <c r="AI436" s="2" t="n">
        <v>54.2</v>
      </c>
      <c r="AJ436" s="2" t="n">
        <v>0.4</v>
      </c>
      <c r="AK436" s="2" t="n">
        <v>47.1</v>
      </c>
      <c r="AL436" s="2"/>
      <c r="AM436" s="2"/>
      <c r="AN436" s="2" t="n">
        <v>4.4</v>
      </c>
      <c r="AO436" s="2" t="n">
        <v>1.4</v>
      </c>
      <c r="AP436" s="2" t="n">
        <v>1.1</v>
      </c>
      <c r="AQ436" s="2" t="n">
        <v>1.5</v>
      </c>
      <c r="AR436" s="2" t="n">
        <v>0.3</v>
      </c>
      <c r="AS436" s="2" t="n">
        <v>5.2</v>
      </c>
      <c r="AT436" s="2" t="n">
        <v>0.3</v>
      </c>
      <c r="AU436" s="2" t="n">
        <v>2.7</v>
      </c>
      <c r="AV436" s="2" t="n">
        <v>0.9</v>
      </c>
      <c r="AW436" s="2" t="n">
        <v>3</v>
      </c>
      <c r="AX436" s="2"/>
      <c r="AY436" s="2" t="n">
        <v>1</v>
      </c>
      <c r="AZ436" s="2"/>
      <c r="BA436" s="2"/>
      <c r="BB436" s="2"/>
      <c r="BC436" s="2"/>
      <c r="BD436" s="4" t="s">
        <v>1585</v>
      </c>
    </row>
    <row r="437" customFormat="false" ht="15" hidden="false" customHeight="false" outlineLevel="0" collapsed="false">
      <c r="A437" s="2" t="n">
        <v>768896</v>
      </c>
      <c r="B437" s="2" t="s">
        <v>1586</v>
      </c>
      <c r="C437" s="2" t="s">
        <v>1539</v>
      </c>
      <c r="D437" s="2" t="s">
        <v>341</v>
      </c>
      <c r="E437" s="2" t="s">
        <v>59</v>
      </c>
      <c r="F437" s="2" t="s">
        <v>102</v>
      </c>
      <c r="G437" s="2" t="s">
        <v>113</v>
      </c>
      <c r="H437" s="2" t="s">
        <v>1587</v>
      </c>
      <c r="I437" s="2" t="n">
        <v>10</v>
      </c>
      <c r="J437" s="2" t="n">
        <v>33</v>
      </c>
      <c r="K437" s="2" t="s">
        <v>1588</v>
      </c>
      <c r="L437" s="2" t="s">
        <v>243</v>
      </c>
      <c r="M437" s="2" t="n">
        <v>180</v>
      </c>
      <c r="N437" s="3" t="n">
        <v>50000</v>
      </c>
      <c r="O437" s="2"/>
      <c r="P437" s="2" t="n">
        <v>20</v>
      </c>
      <c r="Q437" s="3" t="n">
        <v>1378</v>
      </c>
      <c r="R437" s="2" t="n">
        <v>7.21</v>
      </c>
      <c r="S437" s="2" t="n">
        <v>1</v>
      </c>
      <c r="T437" s="2" t="n">
        <v>3</v>
      </c>
      <c r="U437" s="2" t="n">
        <v>0</v>
      </c>
      <c r="V437" s="2"/>
      <c r="W437" s="2"/>
      <c r="X437" s="2" t="n">
        <v>0.2</v>
      </c>
      <c r="Y437" s="2" t="n">
        <v>1.3</v>
      </c>
      <c r="Z437" s="2" t="n">
        <v>0.5</v>
      </c>
      <c r="AA437" s="2" t="n">
        <v>15</v>
      </c>
      <c r="AB437" s="2" t="n">
        <v>2</v>
      </c>
      <c r="AC437" s="2" t="n">
        <v>31</v>
      </c>
      <c r="AD437" s="2" t="n">
        <v>2</v>
      </c>
      <c r="AE437" s="2" t="n">
        <v>4</v>
      </c>
      <c r="AF437" s="2" t="n">
        <v>50</v>
      </c>
      <c r="AG437" s="2" t="n">
        <v>83.4</v>
      </c>
      <c r="AH437" s="2" t="n">
        <v>1.7</v>
      </c>
      <c r="AI437" s="2" t="n">
        <v>41.9</v>
      </c>
      <c r="AJ437" s="2" t="n">
        <v>0.5</v>
      </c>
      <c r="AK437" s="2" t="n">
        <v>44.4</v>
      </c>
      <c r="AL437" s="2"/>
      <c r="AM437" s="2"/>
      <c r="AN437" s="2" t="n">
        <v>3.5</v>
      </c>
      <c r="AO437" s="2" t="n">
        <v>1.7</v>
      </c>
      <c r="AP437" s="2" t="n">
        <v>1</v>
      </c>
      <c r="AQ437" s="2" t="n">
        <v>0.7</v>
      </c>
      <c r="AR437" s="2" t="n">
        <v>0.1</v>
      </c>
      <c r="AS437" s="2" t="n">
        <v>5.8</v>
      </c>
      <c r="AT437" s="2" t="n">
        <v>0.9</v>
      </c>
      <c r="AU437" s="2" t="n">
        <v>3.3</v>
      </c>
      <c r="AV437" s="2" t="n">
        <v>0.9</v>
      </c>
      <c r="AW437" s="2" t="n">
        <v>3</v>
      </c>
      <c r="AX437" s="2"/>
      <c r="AY437" s="2"/>
      <c r="AZ437" s="2"/>
      <c r="BA437" s="2"/>
      <c r="BB437" s="2"/>
      <c r="BC437" s="2"/>
      <c r="BD437" s="4" t="s">
        <v>1589</v>
      </c>
    </row>
    <row r="438" customFormat="false" ht="15" hidden="false" customHeight="false" outlineLevel="0" collapsed="false">
      <c r="A438" s="2" t="n">
        <v>1440011</v>
      </c>
      <c r="B438" s="2" t="s">
        <v>1590</v>
      </c>
      <c r="C438" s="2" t="s">
        <v>1539</v>
      </c>
      <c r="D438" s="2" t="s">
        <v>341</v>
      </c>
      <c r="E438" s="2" t="s">
        <v>59</v>
      </c>
      <c r="F438" s="2" t="s">
        <v>102</v>
      </c>
      <c r="G438" s="2" t="s">
        <v>427</v>
      </c>
      <c r="H438" s="2" t="s">
        <v>1591</v>
      </c>
      <c r="I438" s="2" t="n">
        <v>27</v>
      </c>
      <c r="J438" s="2" t="n">
        <v>25</v>
      </c>
      <c r="K438" s="2" t="s">
        <v>1592</v>
      </c>
      <c r="L438" s="2" t="s">
        <v>243</v>
      </c>
      <c r="M438" s="2" t="n">
        <v>183</v>
      </c>
      <c r="N438" s="3" t="n">
        <v>107863</v>
      </c>
      <c r="O438" s="2"/>
      <c r="P438" s="2" t="n">
        <v>22</v>
      </c>
      <c r="Q438" s="3" t="n">
        <v>1366</v>
      </c>
      <c r="R438" s="2" t="n">
        <v>6.7</v>
      </c>
      <c r="S438" s="2" t="n">
        <v>0</v>
      </c>
      <c r="T438" s="2" t="n">
        <v>3</v>
      </c>
      <c r="U438" s="2" t="n">
        <v>0</v>
      </c>
      <c r="V438" s="2" t="n">
        <v>2</v>
      </c>
      <c r="W438" s="2"/>
      <c r="X438" s="2" t="n">
        <v>0.2</v>
      </c>
      <c r="Y438" s="2" t="n">
        <v>1.8</v>
      </c>
      <c r="Z438" s="2" t="n">
        <v>0.5</v>
      </c>
      <c r="AA438" s="2" t="n">
        <v>11.1</v>
      </c>
      <c r="AB438" s="2" t="n">
        <v>2</v>
      </c>
      <c r="AC438" s="2" t="n">
        <v>14</v>
      </c>
      <c r="AD438" s="2" t="n">
        <v>0.9</v>
      </c>
      <c r="AE438" s="2" t="n">
        <v>3</v>
      </c>
      <c r="AF438" s="2" t="n">
        <v>13.6</v>
      </c>
      <c r="AG438" s="2" t="n">
        <v>68.7</v>
      </c>
      <c r="AH438" s="2" t="n">
        <v>0.3</v>
      </c>
      <c r="AI438" s="2" t="n">
        <v>27.8</v>
      </c>
      <c r="AJ438" s="2" t="n">
        <v>1.5</v>
      </c>
      <c r="AK438" s="2" t="n">
        <v>46.9</v>
      </c>
      <c r="AL438" s="2"/>
      <c r="AM438" s="2"/>
      <c r="AN438" s="2" t="n">
        <v>2.4</v>
      </c>
      <c r="AO438" s="2" t="n">
        <v>1.2</v>
      </c>
      <c r="AP438" s="2" t="n">
        <v>0.6</v>
      </c>
      <c r="AQ438" s="2" t="n">
        <v>0.5</v>
      </c>
      <c r="AR438" s="2" t="n">
        <v>0.1</v>
      </c>
      <c r="AS438" s="2" t="n">
        <v>3.5</v>
      </c>
      <c r="AT438" s="2" t="n">
        <v>0.8</v>
      </c>
      <c r="AU438" s="2" t="n">
        <v>2</v>
      </c>
      <c r="AV438" s="2" t="n">
        <v>1.1</v>
      </c>
      <c r="AW438" s="2"/>
      <c r="AX438" s="2"/>
      <c r="AY438" s="2"/>
      <c r="AZ438" s="2"/>
      <c r="BA438" s="2"/>
      <c r="BB438" s="2"/>
      <c r="BC438" s="2"/>
      <c r="BD438" s="4" t="s">
        <v>1593</v>
      </c>
    </row>
    <row r="439" customFormat="false" ht="15" hidden="false" customHeight="false" outlineLevel="0" collapsed="false">
      <c r="A439" s="2" t="n">
        <v>1168320</v>
      </c>
      <c r="B439" s="2" t="s">
        <v>1594</v>
      </c>
      <c r="C439" s="2" t="s">
        <v>1539</v>
      </c>
      <c r="D439" s="2" t="s">
        <v>341</v>
      </c>
      <c r="E439" s="2" t="s">
        <v>59</v>
      </c>
      <c r="F439" s="2" t="s">
        <v>102</v>
      </c>
      <c r="G439" s="2" t="s">
        <v>113</v>
      </c>
      <c r="H439" s="2" t="s">
        <v>1595</v>
      </c>
      <c r="I439" s="2" t="n">
        <v>2</v>
      </c>
      <c r="J439" s="2" t="n">
        <v>29</v>
      </c>
      <c r="K439" s="2" t="s">
        <v>1596</v>
      </c>
      <c r="L439" s="2" t="s">
        <v>178</v>
      </c>
      <c r="M439" s="2" t="n">
        <v>178</v>
      </c>
      <c r="N439" s="3" t="n">
        <v>50000</v>
      </c>
      <c r="O439" s="2"/>
      <c r="P439" s="2" t="n">
        <v>18</v>
      </c>
      <c r="Q439" s="3" t="n">
        <v>1022</v>
      </c>
      <c r="R439" s="2" t="n">
        <v>6.63</v>
      </c>
      <c r="S439" s="2" t="n">
        <v>0</v>
      </c>
      <c r="T439" s="2" t="n">
        <v>1</v>
      </c>
      <c r="U439" s="2" t="n">
        <v>0</v>
      </c>
      <c r="V439" s="2" t="n">
        <v>1</v>
      </c>
      <c r="W439" s="2"/>
      <c r="X439" s="2" t="n">
        <v>0.09</v>
      </c>
      <c r="Y439" s="2" t="n">
        <v>1.6</v>
      </c>
      <c r="Z439" s="2" t="n">
        <v>0.4</v>
      </c>
      <c r="AA439" s="2" t="n">
        <v>5.6</v>
      </c>
      <c r="AB439" s="2"/>
      <c r="AC439" s="2" t="n">
        <v>10</v>
      </c>
      <c r="AD439" s="2" t="n">
        <v>0.9</v>
      </c>
      <c r="AE439" s="2" t="n">
        <v>2</v>
      </c>
      <c r="AF439" s="2" t="n">
        <v>27.6</v>
      </c>
      <c r="AG439" s="2" t="n">
        <v>84.8</v>
      </c>
      <c r="AH439" s="2" t="n">
        <v>0.6</v>
      </c>
      <c r="AI439" s="2" t="n">
        <v>63.6</v>
      </c>
      <c r="AJ439" s="2" t="n">
        <v>0.2</v>
      </c>
      <c r="AK439" s="2" t="n">
        <v>25</v>
      </c>
      <c r="AL439" s="2"/>
      <c r="AM439" s="2"/>
      <c r="AN439" s="2" t="n">
        <v>1.7</v>
      </c>
      <c r="AO439" s="2" t="n">
        <v>0.7</v>
      </c>
      <c r="AP439" s="2" t="n">
        <v>0.3</v>
      </c>
      <c r="AQ439" s="2" t="n">
        <v>0.6</v>
      </c>
      <c r="AR439" s="2" t="n">
        <v>0.1</v>
      </c>
      <c r="AS439" s="2" t="n">
        <v>3.1</v>
      </c>
      <c r="AT439" s="2" t="n">
        <v>0.4</v>
      </c>
      <c r="AU439" s="2" t="n">
        <v>2.1</v>
      </c>
      <c r="AV439" s="2" t="n">
        <v>0.8</v>
      </c>
      <c r="AW439" s="2"/>
      <c r="AX439" s="2"/>
      <c r="AY439" s="2"/>
      <c r="AZ439" s="2"/>
      <c r="BA439" s="2"/>
      <c r="BB439" s="2"/>
      <c r="BC439" s="2"/>
      <c r="BD439" s="4" t="s">
        <v>1597</v>
      </c>
    </row>
    <row r="440" customFormat="false" ht="15" hidden="false" customHeight="false" outlineLevel="0" collapsed="false">
      <c r="A440" s="2" t="n">
        <v>756396</v>
      </c>
      <c r="B440" s="2" t="s">
        <v>1598</v>
      </c>
      <c r="C440" s="2" t="s">
        <v>1539</v>
      </c>
      <c r="D440" s="2" t="s">
        <v>341</v>
      </c>
      <c r="E440" s="2" t="s">
        <v>59</v>
      </c>
      <c r="F440" s="2" t="s">
        <v>102</v>
      </c>
      <c r="G440" s="2" t="s">
        <v>92</v>
      </c>
      <c r="H440" s="2" t="s">
        <v>1599</v>
      </c>
      <c r="I440" s="2" t="n">
        <v>12</v>
      </c>
      <c r="J440" s="2" t="n">
        <v>35</v>
      </c>
      <c r="K440" s="2" t="s">
        <v>1600</v>
      </c>
      <c r="L440" s="2" t="s">
        <v>67</v>
      </c>
      <c r="M440" s="2" t="n">
        <v>173</v>
      </c>
      <c r="N440" s="3" t="n">
        <v>50000</v>
      </c>
      <c r="O440" s="2"/>
      <c r="P440" s="2" t="n">
        <v>19</v>
      </c>
      <c r="Q440" s="3" t="n">
        <v>827</v>
      </c>
      <c r="R440" s="2" t="n">
        <v>6.54</v>
      </c>
      <c r="S440" s="2" t="n">
        <v>0</v>
      </c>
      <c r="T440" s="2"/>
      <c r="U440" s="2"/>
      <c r="V440" s="2"/>
      <c r="W440" s="2"/>
      <c r="X440" s="2"/>
      <c r="Y440" s="2" t="n">
        <v>0.7</v>
      </c>
      <c r="Z440" s="2"/>
      <c r="AA440" s="2" t="n">
        <v>0</v>
      </c>
      <c r="AB440" s="2" t="n">
        <v>1</v>
      </c>
      <c r="AC440" s="2" t="n">
        <v>8</v>
      </c>
      <c r="AD440" s="2" t="n">
        <v>0.9</v>
      </c>
      <c r="AE440" s="2"/>
      <c r="AF440" s="2" t="n">
        <v>35</v>
      </c>
      <c r="AG440" s="2" t="n">
        <v>81.1</v>
      </c>
      <c r="AH440" s="2" t="n">
        <v>1.6</v>
      </c>
      <c r="AI440" s="2" t="n">
        <v>34.1</v>
      </c>
      <c r="AJ440" s="2" t="n">
        <v>0.3</v>
      </c>
      <c r="AK440" s="2" t="n">
        <v>33.3</v>
      </c>
      <c r="AL440" s="2"/>
      <c r="AM440" s="2"/>
      <c r="AN440" s="2" t="n">
        <v>4.2</v>
      </c>
      <c r="AO440" s="2" t="n">
        <v>0.9</v>
      </c>
      <c r="AP440" s="2" t="n">
        <v>1</v>
      </c>
      <c r="AQ440" s="2" t="n">
        <v>2.1</v>
      </c>
      <c r="AR440" s="2" t="n">
        <v>0.3</v>
      </c>
      <c r="AS440" s="2" t="n">
        <v>3.5</v>
      </c>
      <c r="AT440" s="2" t="n">
        <v>0.1</v>
      </c>
      <c r="AU440" s="2" t="n">
        <v>2</v>
      </c>
      <c r="AV440" s="2" t="n">
        <v>1.1</v>
      </c>
      <c r="AW440" s="2" t="n">
        <v>2</v>
      </c>
      <c r="AX440" s="2"/>
      <c r="AY440" s="2"/>
      <c r="AZ440" s="2"/>
      <c r="BA440" s="2"/>
      <c r="BB440" s="2"/>
      <c r="BC440" s="2"/>
      <c r="BD440" s="4" t="s">
        <v>1601</v>
      </c>
    </row>
    <row r="441" customFormat="false" ht="15" hidden="false" customHeight="false" outlineLevel="0" collapsed="false">
      <c r="A441" s="2" t="n">
        <v>1083234</v>
      </c>
      <c r="B441" s="2" t="s">
        <v>1602</v>
      </c>
      <c r="C441" s="2" t="s">
        <v>1539</v>
      </c>
      <c r="D441" s="2" t="s">
        <v>341</v>
      </c>
      <c r="E441" s="2" t="s">
        <v>59</v>
      </c>
      <c r="F441" s="2" t="s">
        <v>102</v>
      </c>
      <c r="G441" s="2" t="s">
        <v>427</v>
      </c>
      <c r="H441" s="2" t="s">
        <v>1603</v>
      </c>
      <c r="I441" s="2" t="n">
        <v>21</v>
      </c>
      <c r="J441" s="2" t="n">
        <v>24</v>
      </c>
      <c r="K441" s="2" t="s">
        <v>1604</v>
      </c>
      <c r="L441" s="2" t="s">
        <v>67</v>
      </c>
      <c r="M441" s="2" t="n">
        <v>170</v>
      </c>
      <c r="N441" s="3" t="n">
        <v>84057</v>
      </c>
      <c r="O441" s="2"/>
      <c r="P441" s="2" t="n">
        <v>16</v>
      </c>
      <c r="Q441" s="3" t="n">
        <v>491</v>
      </c>
      <c r="R441" s="2"/>
      <c r="S441" s="2"/>
      <c r="T441" s="2" t="n">
        <v>1</v>
      </c>
      <c r="U441" s="2" t="n">
        <v>0</v>
      </c>
      <c r="V441" s="2"/>
      <c r="W441" s="2"/>
      <c r="X441" s="2" t="n">
        <v>0.18</v>
      </c>
      <c r="Y441" s="2" t="n">
        <v>1.6</v>
      </c>
      <c r="Z441" s="2" t="n">
        <v>0.7</v>
      </c>
      <c r="AA441" s="2" t="n">
        <v>11.1</v>
      </c>
      <c r="AB441" s="2"/>
      <c r="AC441" s="2" t="n">
        <v>6</v>
      </c>
      <c r="AD441" s="2" t="n">
        <v>1.1</v>
      </c>
      <c r="AE441" s="2"/>
      <c r="AF441" s="2" t="n">
        <v>43.3</v>
      </c>
      <c r="AG441" s="2" t="n">
        <v>87.1</v>
      </c>
      <c r="AH441" s="2" t="n">
        <v>1.6</v>
      </c>
      <c r="AI441" s="2" t="n">
        <v>39.1</v>
      </c>
      <c r="AJ441" s="2" t="n">
        <v>0.5</v>
      </c>
      <c r="AK441" s="2" t="n">
        <v>42.9</v>
      </c>
      <c r="AL441" s="2"/>
      <c r="AM441" s="2"/>
      <c r="AN441" s="2" t="n">
        <v>2</v>
      </c>
      <c r="AO441" s="2" t="n">
        <v>1.1</v>
      </c>
      <c r="AP441" s="2" t="n">
        <v>0.4</v>
      </c>
      <c r="AQ441" s="2" t="n">
        <v>0.5</v>
      </c>
      <c r="AR441" s="2"/>
      <c r="AS441" s="2" t="n">
        <v>3.8</v>
      </c>
      <c r="AT441" s="2" t="n">
        <v>0.2</v>
      </c>
      <c r="AU441" s="2" t="n">
        <v>2.7</v>
      </c>
      <c r="AV441" s="2" t="n">
        <v>0.9</v>
      </c>
      <c r="AW441" s="2" t="n">
        <v>2</v>
      </c>
      <c r="AX441" s="2"/>
      <c r="AY441" s="2"/>
      <c r="AZ441" s="2"/>
      <c r="BA441" s="2"/>
      <c r="BB441" s="2"/>
      <c r="BC441" s="2"/>
      <c r="BD441" s="4" t="s">
        <v>1605</v>
      </c>
    </row>
    <row r="442" customFormat="false" ht="15" hidden="false" customHeight="false" outlineLevel="0" collapsed="false">
      <c r="A442" s="2" t="n">
        <v>2101228</v>
      </c>
      <c r="B442" s="2" t="s">
        <v>1606</v>
      </c>
      <c r="C442" s="2" t="s">
        <v>1539</v>
      </c>
      <c r="D442" s="2" t="s">
        <v>341</v>
      </c>
      <c r="E442" s="2" t="s">
        <v>59</v>
      </c>
      <c r="F442" s="2" t="s">
        <v>102</v>
      </c>
      <c r="G442" s="2"/>
      <c r="H442" s="2"/>
      <c r="I442" s="2" t="n">
        <v>38</v>
      </c>
      <c r="J442" s="2" t="n">
        <v>0</v>
      </c>
      <c r="K442" s="2"/>
      <c r="L442" s="2" t="s">
        <v>67</v>
      </c>
      <c r="M442" s="2" t="n">
        <v>178</v>
      </c>
      <c r="N442" s="3"/>
      <c r="O442" s="2"/>
      <c r="P442" s="2" t="n">
        <v>2</v>
      </c>
      <c r="Q442" s="3" t="n">
        <v>6</v>
      </c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 t="n">
        <v>2</v>
      </c>
      <c r="AD442" s="2" t="n">
        <v>30</v>
      </c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4" t="s">
        <v>1607</v>
      </c>
    </row>
    <row r="443" customFormat="false" ht="15" hidden="false" customHeight="false" outlineLevel="0" collapsed="false">
      <c r="A443" s="2" t="n">
        <v>2140684</v>
      </c>
      <c r="B443" s="2" t="s">
        <v>1608</v>
      </c>
      <c r="C443" s="2" t="s">
        <v>1539</v>
      </c>
      <c r="D443" s="2" t="s">
        <v>341</v>
      </c>
      <c r="E443" s="2" t="s">
        <v>59</v>
      </c>
      <c r="F443" s="2" t="s">
        <v>102</v>
      </c>
      <c r="G443" s="2"/>
      <c r="H443" s="2"/>
      <c r="I443" s="2" t="n">
        <v>53</v>
      </c>
      <c r="J443" s="2" t="n">
        <v>17</v>
      </c>
      <c r="K443" s="2" t="s">
        <v>1609</v>
      </c>
      <c r="L443" s="2" t="s">
        <v>67</v>
      </c>
      <c r="M443" s="2" t="n">
        <v>178</v>
      </c>
      <c r="N443" s="3"/>
      <c r="O443" s="2"/>
      <c r="P443" s="2" t="n">
        <v>1</v>
      </c>
      <c r="Q443" s="3" t="n">
        <v>1</v>
      </c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4" t="s">
        <v>1610</v>
      </c>
    </row>
    <row r="444" customFormat="false" ht="15" hidden="false" customHeight="false" outlineLevel="0" collapsed="false">
      <c r="A444" s="2" t="n">
        <v>2009300</v>
      </c>
      <c r="B444" s="2" t="s">
        <v>1611</v>
      </c>
      <c r="C444" s="2" t="s">
        <v>1539</v>
      </c>
      <c r="D444" s="2" t="s">
        <v>341</v>
      </c>
      <c r="E444" s="2" t="s">
        <v>59</v>
      </c>
      <c r="F444" s="2" t="s">
        <v>102</v>
      </c>
      <c r="G444" s="2"/>
      <c r="H444" s="2"/>
      <c r="I444" s="2" t="n">
        <v>51</v>
      </c>
      <c r="J444" s="2" t="n">
        <v>16</v>
      </c>
      <c r="K444" s="2" t="s">
        <v>1612</v>
      </c>
      <c r="L444" s="2" t="s">
        <v>67</v>
      </c>
      <c r="M444" s="2" t="n">
        <v>170</v>
      </c>
      <c r="N444" s="3"/>
      <c r="O444" s="2"/>
      <c r="P444" s="2"/>
      <c r="Q444" s="3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4" t="s">
        <v>1613</v>
      </c>
    </row>
    <row r="445" customFormat="false" ht="15" hidden="false" customHeight="false" outlineLevel="0" collapsed="false">
      <c r="A445" s="2" t="n">
        <v>1928453</v>
      </c>
      <c r="B445" s="2" t="s">
        <v>1614</v>
      </c>
      <c r="C445" s="2" t="s">
        <v>1539</v>
      </c>
      <c r="D445" s="2" t="s">
        <v>341</v>
      </c>
      <c r="E445" s="2" t="s">
        <v>59</v>
      </c>
      <c r="F445" s="2" t="s">
        <v>102</v>
      </c>
      <c r="G445" s="2"/>
      <c r="H445" s="2"/>
      <c r="I445" s="2" t="n">
        <v>59</v>
      </c>
      <c r="J445" s="2" t="n">
        <v>17</v>
      </c>
      <c r="K445" s="2" t="s">
        <v>1195</v>
      </c>
      <c r="L445" s="2" t="s">
        <v>67</v>
      </c>
      <c r="M445" s="2" t="n">
        <v>185</v>
      </c>
      <c r="N445" s="3"/>
      <c r="O445" s="2"/>
      <c r="P445" s="2"/>
      <c r="Q445" s="3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4" t="s">
        <v>1615</v>
      </c>
    </row>
    <row r="446" customFormat="false" ht="15" hidden="false" customHeight="false" outlineLevel="0" collapsed="false">
      <c r="A446" s="2" t="n">
        <v>1285619</v>
      </c>
      <c r="B446" s="2" t="s">
        <v>1616</v>
      </c>
      <c r="C446" s="2" t="s">
        <v>1539</v>
      </c>
      <c r="D446" s="2" t="s">
        <v>341</v>
      </c>
      <c r="E446" s="2" t="s">
        <v>59</v>
      </c>
      <c r="F446" s="2" t="s">
        <v>137</v>
      </c>
      <c r="G446" s="2" t="s">
        <v>138</v>
      </c>
      <c r="H446" s="2" t="s">
        <v>1617</v>
      </c>
      <c r="I446" s="2" t="n">
        <v>7</v>
      </c>
      <c r="J446" s="2" t="n">
        <v>26</v>
      </c>
      <c r="K446" s="2" t="s">
        <v>1359</v>
      </c>
      <c r="L446" s="2" t="s">
        <v>67</v>
      </c>
      <c r="M446" s="2" t="n">
        <v>183</v>
      </c>
      <c r="N446" s="3" t="n">
        <v>112315</v>
      </c>
      <c r="O446" s="2"/>
      <c r="P446" s="2" t="n">
        <v>26</v>
      </c>
      <c r="Q446" s="3" t="n">
        <v>2030</v>
      </c>
      <c r="R446" s="2" t="n">
        <v>7.02</v>
      </c>
      <c r="S446" s="2" t="n">
        <v>1</v>
      </c>
      <c r="T446" s="2" t="n">
        <v>5</v>
      </c>
      <c r="U446" s="2" t="n">
        <v>0</v>
      </c>
      <c r="V446" s="2" t="n">
        <v>7</v>
      </c>
      <c r="W446" s="2"/>
      <c r="X446" s="2" t="n">
        <v>0.22</v>
      </c>
      <c r="Y446" s="2" t="n">
        <v>1.1</v>
      </c>
      <c r="Z446" s="2" t="n">
        <v>0.4</v>
      </c>
      <c r="AA446" s="2" t="n">
        <v>20</v>
      </c>
      <c r="AB446" s="2" t="n">
        <v>1</v>
      </c>
      <c r="AC446" s="2" t="n">
        <v>24</v>
      </c>
      <c r="AD446" s="2" t="n">
        <v>1.1</v>
      </c>
      <c r="AE446" s="2" t="n">
        <v>10</v>
      </c>
      <c r="AF446" s="2" t="n">
        <v>19.3</v>
      </c>
      <c r="AG446" s="2" t="n">
        <v>80</v>
      </c>
      <c r="AH446" s="2" t="n">
        <v>0.6</v>
      </c>
      <c r="AI446" s="2" t="n">
        <v>40</v>
      </c>
      <c r="AJ446" s="2" t="n">
        <v>0.9</v>
      </c>
      <c r="AK446" s="2" t="n">
        <v>29.6</v>
      </c>
      <c r="AL446" s="2"/>
      <c r="AM446" s="2"/>
      <c r="AN446" s="2" t="n">
        <v>2.7</v>
      </c>
      <c r="AO446" s="2" t="n">
        <v>1.6</v>
      </c>
      <c r="AP446" s="2" t="n">
        <v>0.5</v>
      </c>
      <c r="AQ446" s="2" t="n">
        <v>0.5</v>
      </c>
      <c r="AR446" s="2" t="n">
        <v>0.2</v>
      </c>
      <c r="AS446" s="2" t="n">
        <v>3.6</v>
      </c>
      <c r="AT446" s="2" t="n">
        <v>0.6</v>
      </c>
      <c r="AU446" s="2" t="n">
        <v>1.9</v>
      </c>
      <c r="AV446" s="2" t="n">
        <v>1.2</v>
      </c>
      <c r="AW446" s="2" t="n">
        <v>1</v>
      </c>
      <c r="AX446" s="2"/>
      <c r="AY446" s="2"/>
      <c r="AZ446" s="2"/>
      <c r="BA446" s="2"/>
      <c r="BB446" s="2"/>
      <c r="BC446" s="2"/>
      <c r="BD446" s="4" t="s">
        <v>1618</v>
      </c>
    </row>
    <row r="447" customFormat="false" ht="15" hidden="false" customHeight="false" outlineLevel="0" collapsed="false">
      <c r="A447" s="2" t="n">
        <v>627857</v>
      </c>
      <c r="B447" s="2" t="s">
        <v>1619</v>
      </c>
      <c r="C447" s="2" t="s">
        <v>1539</v>
      </c>
      <c r="D447" s="2" t="s">
        <v>341</v>
      </c>
      <c r="E447" s="2" t="s">
        <v>59</v>
      </c>
      <c r="F447" s="2" t="s">
        <v>137</v>
      </c>
      <c r="G447" s="2" t="s">
        <v>147</v>
      </c>
      <c r="H447" s="2" t="s">
        <v>147</v>
      </c>
      <c r="I447" s="2" t="n">
        <v>9</v>
      </c>
      <c r="J447" s="2" t="n">
        <v>29</v>
      </c>
      <c r="K447" s="2" t="s">
        <v>1620</v>
      </c>
      <c r="L447" s="2" t="s">
        <v>629</v>
      </c>
      <c r="M447" s="2" t="n">
        <v>183</v>
      </c>
      <c r="N447" s="3" t="n">
        <v>78338</v>
      </c>
      <c r="O447" s="2"/>
      <c r="P447" s="2" t="n">
        <v>23</v>
      </c>
      <c r="Q447" s="3" t="n">
        <v>1804</v>
      </c>
      <c r="R447" s="2" t="n">
        <v>7.03</v>
      </c>
      <c r="S447" s="2" t="n">
        <v>2</v>
      </c>
      <c r="T447" s="2" t="n">
        <v>13</v>
      </c>
      <c r="U447" s="2" t="n">
        <v>4</v>
      </c>
      <c r="V447" s="2" t="n">
        <v>1</v>
      </c>
      <c r="W447" s="2"/>
      <c r="X447" s="2" t="n">
        <v>0.65</v>
      </c>
      <c r="Y447" s="2" t="n">
        <v>2.5</v>
      </c>
      <c r="Z447" s="2" t="n">
        <v>1.2</v>
      </c>
      <c r="AA447" s="2" t="n">
        <v>25.5</v>
      </c>
      <c r="AB447" s="2" t="n">
        <v>14</v>
      </c>
      <c r="AC447" s="2" t="n">
        <v>17</v>
      </c>
      <c r="AD447" s="2" t="n">
        <v>0.8</v>
      </c>
      <c r="AE447" s="2" t="n">
        <v>2</v>
      </c>
      <c r="AF447" s="2" t="n">
        <v>9.7</v>
      </c>
      <c r="AG447" s="2" t="n">
        <v>80.6</v>
      </c>
      <c r="AH447" s="2" t="n">
        <v>0.1</v>
      </c>
      <c r="AI447" s="2" t="n">
        <v>100</v>
      </c>
      <c r="AJ447" s="2" t="n">
        <v>0.2</v>
      </c>
      <c r="AK447" s="2" t="n">
        <v>27.8</v>
      </c>
      <c r="AL447" s="2" t="n">
        <v>4</v>
      </c>
      <c r="AM447" s="2" t="n">
        <v>2.1</v>
      </c>
      <c r="AN447" s="2" t="n">
        <v>1.4</v>
      </c>
      <c r="AO447" s="2" t="n">
        <v>0.5</v>
      </c>
      <c r="AP447" s="2" t="n">
        <v>0</v>
      </c>
      <c r="AQ447" s="2" t="n">
        <v>0.7</v>
      </c>
      <c r="AR447" s="2" t="n">
        <v>0.1</v>
      </c>
      <c r="AS447" s="2" t="n">
        <v>1.7</v>
      </c>
      <c r="AT447" s="2" t="n">
        <v>0.7</v>
      </c>
      <c r="AU447" s="2" t="n">
        <v>0.9</v>
      </c>
      <c r="AV447" s="2" t="n">
        <v>1.6</v>
      </c>
      <c r="AW447" s="2" t="n">
        <v>2</v>
      </c>
      <c r="AX447" s="2"/>
      <c r="AY447" s="2"/>
      <c r="AZ447" s="2"/>
      <c r="BA447" s="2"/>
      <c r="BB447" s="2"/>
      <c r="BC447" s="2"/>
      <c r="BD447" s="4" t="s">
        <v>1621</v>
      </c>
    </row>
    <row r="448" customFormat="false" ht="15" hidden="false" customHeight="false" outlineLevel="0" collapsed="false">
      <c r="A448" s="2" t="n">
        <v>959244</v>
      </c>
      <c r="B448" s="2" t="s">
        <v>1622</v>
      </c>
      <c r="C448" s="2" t="s">
        <v>1539</v>
      </c>
      <c r="D448" s="2" t="s">
        <v>341</v>
      </c>
      <c r="E448" s="2" t="s">
        <v>59</v>
      </c>
      <c r="F448" s="2" t="s">
        <v>137</v>
      </c>
      <c r="G448" s="2" t="s">
        <v>147</v>
      </c>
      <c r="H448" s="2" t="s">
        <v>317</v>
      </c>
      <c r="I448" s="2" t="n">
        <v>77</v>
      </c>
      <c r="J448" s="2" t="n">
        <v>26</v>
      </c>
      <c r="K448" s="2" t="s">
        <v>1623</v>
      </c>
      <c r="L448" s="2" t="s">
        <v>110</v>
      </c>
      <c r="M448" s="2" t="n">
        <v>185</v>
      </c>
      <c r="N448" s="3" t="n">
        <v>63819</v>
      </c>
      <c r="O448" s="2"/>
      <c r="P448" s="2" t="n">
        <v>17</v>
      </c>
      <c r="Q448" s="3" t="n">
        <v>907</v>
      </c>
      <c r="R448" s="2" t="n">
        <v>6.74</v>
      </c>
      <c r="S448" s="2" t="n">
        <v>0</v>
      </c>
      <c r="T448" s="2" t="n">
        <v>1</v>
      </c>
      <c r="U448" s="2" t="n">
        <v>0</v>
      </c>
      <c r="V448" s="2" t="n">
        <v>2</v>
      </c>
      <c r="W448" s="2"/>
      <c r="X448" s="2" t="n">
        <v>0.1</v>
      </c>
      <c r="Y448" s="2" t="n">
        <v>1.4</v>
      </c>
      <c r="Z448" s="2" t="n">
        <v>0.3</v>
      </c>
      <c r="AA448" s="2" t="n">
        <v>7.1</v>
      </c>
      <c r="AB448" s="2"/>
      <c r="AC448" s="2" t="n">
        <v>6</v>
      </c>
      <c r="AD448" s="2" t="n">
        <v>0.6</v>
      </c>
      <c r="AE448" s="2" t="n">
        <v>2</v>
      </c>
      <c r="AF448" s="2" t="n">
        <v>35.8</v>
      </c>
      <c r="AG448" s="2" t="n">
        <v>80.9</v>
      </c>
      <c r="AH448" s="2" t="n">
        <v>1.8</v>
      </c>
      <c r="AI448" s="2" t="n">
        <v>32.7</v>
      </c>
      <c r="AJ448" s="2" t="n">
        <v>1.3</v>
      </c>
      <c r="AK448" s="2" t="n">
        <v>65</v>
      </c>
      <c r="AL448" s="2"/>
      <c r="AM448" s="2"/>
      <c r="AN448" s="2" t="n">
        <v>1.6</v>
      </c>
      <c r="AO448" s="2" t="n">
        <v>0.7</v>
      </c>
      <c r="AP448" s="2" t="n">
        <v>0.5</v>
      </c>
      <c r="AQ448" s="2" t="n">
        <v>0.2</v>
      </c>
      <c r="AR448" s="2" t="n">
        <v>0.2</v>
      </c>
      <c r="AS448" s="2" t="n">
        <v>3.3</v>
      </c>
      <c r="AT448" s="2" t="n">
        <v>0.6</v>
      </c>
      <c r="AU448" s="2" t="n">
        <v>1.8</v>
      </c>
      <c r="AV448" s="2" t="n">
        <v>0.4</v>
      </c>
      <c r="AW448" s="2"/>
      <c r="AX448" s="2"/>
      <c r="AY448" s="2"/>
      <c r="AZ448" s="2"/>
      <c r="BA448" s="2"/>
      <c r="BB448" s="2"/>
      <c r="BC448" s="2"/>
      <c r="BD448" s="4" t="s">
        <v>1624</v>
      </c>
    </row>
    <row r="449" customFormat="false" ht="15" hidden="false" customHeight="false" outlineLevel="0" collapsed="false">
      <c r="A449" s="2" t="n">
        <v>1179783</v>
      </c>
      <c r="B449" s="2" t="s">
        <v>1625</v>
      </c>
      <c r="C449" s="2" t="s">
        <v>1539</v>
      </c>
      <c r="D449" s="2" t="s">
        <v>341</v>
      </c>
      <c r="E449" s="2" t="s">
        <v>59</v>
      </c>
      <c r="F449" s="2" t="s">
        <v>137</v>
      </c>
      <c r="G449" s="2" t="s">
        <v>147</v>
      </c>
      <c r="H449" s="2" t="s">
        <v>1626</v>
      </c>
      <c r="I449" s="2" t="n">
        <v>99</v>
      </c>
      <c r="J449" s="2" t="n">
        <v>28</v>
      </c>
      <c r="K449" s="2" t="s">
        <v>1627</v>
      </c>
      <c r="L449" s="2" t="s">
        <v>67</v>
      </c>
      <c r="M449" s="2" t="n">
        <v>175</v>
      </c>
      <c r="N449" s="3" t="n">
        <v>50000</v>
      </c>
      <c r="O449" s="2"/>
      <c r="P449" s="2" t="n">
        <v>21</v>
      </c>
      <c r="Q449" s="3" t="n">
        <v>849</v>
      </c>
      <c r="R449" s="2" t="n">
        <v>6.36</v>
      </c>
      <c r="S449" s="2" t="n">
        <v>0</v>
      </c>
      <c r="T449" s="2" t="n">
        <v>2</v>
      </c>
      <c r="U449" s="2" t="n">
        <v>0</v>
      </c>
      <c r="V449" s="2"/>
      <c r="W449" s="2"/>
      <c r="X449" s="2" t="n">
        <v>0.21</v>
      </c>
      <c r="Y449" s="2" t="n">
        <v>2.5</v>
      </c>
      <c r="Z449" s="2" t="n">
        <v>1.1</v>
      </c>
      <c r="AA449" s="2" t="n">
        <v>8.3</v>
      </c>
      <c r="AB449" s="2" t="n">
        <v>6</v>
      </c>
      <c r="AC449" s="2" t="n">
        <v>7</v>
      </c>
      <c r="AD449" s="2" t="n">
        <v>0.7</v>
      </c>
      <c r="AE449" s="2" t="n">
        <v>3</v>
      </c>
      <c r="AF449" s="2" t="n">
        <v>22</v>
      </c>
      <c r="AG449" s="2" t="n">
        <v>80</v>
      </c>
      <c r="AH449" s="2" t="n">
        <v>0.1</v>
      </c>
      <c r="AI449" s="2" t="n">
        <v>20</v>
      </c>
      <c r="AJ449" s="2" t="n">
        <v>1.2</v>
      </c>
      <c r="AK449" s="2" t="n">
        <v>42.3</v>
      </c>
      <c r="AL449" s="2"/>
      <c r="AM449" s="2"/>
      <c r="AN449" s="2" t="n">
        <v>1.5</v>
      </c>
      <c r="AO449" s="2" t="n">
        <v>0.8</v>
      </c>
      <c r="AP449" s="2" t="n">
        <v>0.2</v>
      </c>
      <c r="AQ449" s="2" t="n">
        <v>0.4</v>
      </c>
      <c r="AR449" s="2"/>
      <c r="AS449" s="2" t="n">
        <v>2.8</v>
      </c>
      <c r="AT449" s="2" t="n">
        <v>0.4</v>
      </c>
      <c r="AU449" s="2" t="n">
        <v>1.3</v>
      </c>
      <c r="AV449" s="2" t="n">
        <v>2.3</v>
      </c>
      <c r="AW449" s="2" t="n">
        <v>2</v>
      </c>
      <c r="AX449" s="2" t="n">
        <v>1</v>
      </c>
      <c r="AY449" s="2"/>
      <c r="AZ449" s="2"/>
      <c r="BA449" s="2"/>
      <c r="BB449" s="2"/>
      <c r="BC449" s="2"/>
      <c r="BD449" s="4" t="s">
        <v>1628</v>
      </c>
    </row>
    <row r="450" customFormat="false" ht="15" hidden="false" customHeight="false" outlineLevel="0" collapsed="false">
      <c r="A450" s="2" t="n">
        <v>1921667</v>
      </c>
      <c r="B450" s="2" t="s">
        <v>1629</v>
      </c>
      <c r="C450" s="2" t="s">
        <v>1539</v>
      </c>
      <c r="D450" s="2" t="s">
        <v>341</v>
      </c>
      <c r="E450" s="2" t="s">
        <v>59</v>
      </c>
      <c r="F450" s="2" t="s">
        <v>137</v>
      </c>
      <c r="G450" s="2" t="s">
        <v>147</v>
      </c>
      <c r="H450" s="2" t="s">
        <v>147</v>
      </c>
      <c r="I450" s="2" t="n">
        <v>19</v>
      </c>
      <c r="J450" s="2" t="n">
        <v>23</v>
      </c>
      <c r="K450" s="2" t="s">
        <v>1630</v>
      </c>
      <c r="L450" s="2" t="s">
        <v>67</v>
      </c>
      <c r="M450" s="2" t="n">
        <v>191</v>
      </c>
      <c r="N450" s="3" t="n">
        <v>74461</v>
      </c>
      <c r="O450" s="2"/>
      <c r="P450" s="2" t="n">
        <v>19</v>
      </c>
      <c r="Q450" s="3" t="n">
        <v>223</v>
      </c>
      <c r="R450" s="2"/>
      <c r="S450" s="2"/>
      <c r="T450" s="2"/>
      <c r="U450" s="2"/>
      <c r="V450" s="2"/>
      <c r="W450" s="2"/>
      <c r="X450" s="2"/>
      <c r="Y450" s="2" t="n">
        <v>3.2</v>
      </c>
      <c r="Z450" s="2" t="n">
        <v>0.8</v>
      </c>
      <c r="AA450" s="2" t="n">
        <v>0</v>
      </c>
      <c r="AB450" s="2" t="n">
        <v>3</v>
      </c>
      <c r="AC450" s="2" t="n">
        <v>2</v>
      </c>
      <c r="AD450" s="2" t="n">
        <v>0.8</v>
      </c>
      <c r="AE450" s="2"/>
      <c r="AF450" s="2" t="n">
        <v>7.7</v>
      </c>
      <c r="AG450" s="2" t="n">
        <v>59.4</v>
      </c>
      <c r="AH450" s="2"/>
      <c r="AI450" s="2"/>
      <c r="AJ450" s="2" t="n">
        <v>0.4</v>
      </c>
      <c r="AK450" s="2" t="n">
        <v>33.3</v>
      </c>
      <c r="AL450" s="2"/>
      <c r="AM450" s="2"/>
      <c r="AN450" s="2" t="n">
        <v>2</v>
      </c>
      <c r="AO450" s="2" t="n">
        <v>0.4</v>
      </c>
      <c r="AP450" s="2" t="n">
        <v>0.4</v>
      </c>
      <c r="AQ450" s="2" t="n">
        <v>1.2</v>
      </c>
      <c r="AR450" s="2"/>
      <c r="AS450" s="2" t="n">
        <v>0.4</v>
      </c>
      <c r="AT450" s="2"/>
      <c r="AU450" s="2"/>
      <c r="AV450" s="2" t="n">
        <v>2.8</v>
      </c>
      <c r="AW450" s="2"/>
      <c r="AX450" s="2"/>
      <c r="AY450" s="2"/>
      <c r="AZ450" s="2"/>
      <c r="BA450" s="2"/>
      <c r="BB450" s="2"/>
      <c r="BC450" s="2"/>
      <c r="BD450" s="4" t="s">
        <v>1631</v>
      </c>
    </row>
    <row r="451" customFormat="false" ht="15" hidden="false" customHeight="false" outlineLevel="0" collapsed="false">
      <c r="A451" s="2" t="n">
        <v>1257972</v>
      </c>
      <c r="B451" s="2" t="s">
        <v>1632</v>
      </c>
      <c r="C451" s="2" t="s">
        <v>1633</v>
      </c>
      <c r="D451" s="2" t="s">
        <v>341</v>
      </c>
      <c r="E451" s="2" t="s">
        <v>59</v>
      </c>
      <c r="F451" s="2" t="s">
        <v>60</v>
      </c>
      <c r="G451" s="2" t="s">
        <v>61</v>
      </c>
      <c r="H451" s="2" t="s">
        <v>61</v>
      </c>
      <c r="I451" s="2" t="n">
        <v>1</v>
      </c>
      <c r="J451" s="2" t="n">
        <v>25</v>
      </c>
      <c r="K451" s="2" t="s">
        <v>1634</v>
      </c>
      <c r="L451" s="2" t="s">
        <v>67</v>
      </c>
      <c r="M451" s="2" t="n">
        <v>193</v>
      </c>
      <c r="N451" s="3" t="n">
        <v>90119</v>
      </c>
      <c r="O451" s="2"/>
      <c r="P451" s="2" t="n">
        <v>26</v>
      </c>
      <c r="Q451" s="3" t="n">
        <v>2340</v>
      </c>
      <c r="R451" s="2" t="n">
        <v>6.84</v>
      </c>
      <c r="S451" s="2" t="n">
        <v>4</v>
      </c>
      <c r="T451" s="2"/>
      <c r="U451" s="2"/>
      <c r="V451" s="2"/>
      <c r="W451" s="2"/>
      <c r="X451" s="2"/>
      <c r="Y451" s="2"/>
      <c r="Z451" s="2"/>
      <c r="AA451" s="2"/>
      <c r="AB451" s="2"/>
      <c r="AC451" s="2" t="n">
        <v>1</v>
      </c>
      <c r="AD451" s="2" t="n">
        <v>0</v>
      </c>
      <c r="AE451" s="2"/>
      <c r="AF451" s="2" t="n">
        <v>16.7</v>
      </c>
      <c r="AG451" s="2" t="n">
        <v>61</v>
      </c>
      <c r="AH451" s="2"/>
      <c r="AI451" s="2"/>
      <c r="AJ451" s="2"/>
      <c r="AK451" s="2"/>
      <c r="AL451" s="2"/>
      <c r="AM451" s="2"/>
      <c r="AN451" s="2" t="n">
        <v>1.7</v>
      </c>
      <c r="AO451" s="2" t="n">
        <v>0</v>
      </c>
      <c r="AP451" s="2"/>
      <c r="AQ451" s="2" t="n">
        <v>1.6</v>
      </c>
      <c r="AR451" s="2"/>
      <c r="AS451" s="2" t="n">
        <v>8.5</v>
      </c>
      <c r="AT451" s="2"/>
      <c r="AU451" s="2"/>
      <c r="AV451" s="2" t="n">
        <v>0.1</v>
      </c>
      <c r="AW451" s="2" t="n">
        <v>1</v>
      </c>
      <c r="AX451" s="2"/>
      <c r="AY451" s="2" t="n">
        <v>2</v>
      </c>
      <c r="AZ451" s="2" t="n">
        <v>7</v>
      </c>
      <c r="BA451" s="2" t="n">
        <v>3.2</v>
      </c>
      <c r="BB451" s="2" t="n">
        <v>67.5</v>
      </c>
      <c r="BC451" s="2" t="n">
        <v>1.5</v>
      </c>
      <c r="BD451" s="4" t="s">
        <v>1635</v>
      </c>
    </row>
    <row r="452" customFormat="false" ht="15" hidden="false" customHeight="false" outlineLevel="0" collapsed="false">
      <c r="A452" s="2" t="n">
        <v>1645554</v>
      </c>
      <c r="B452" s="2" t="s">
        <v>1636</v>
      </c>
      <c r="C452" s="2" t="s">
        <v>1633</v>
      </c>
      <c r="D452" s="2" t="s">
        <v>341</v>
      </c>
      <c r="E452" s="2" t="s">
        <v>59</v>
      </c>
      <c r="F452" s="2" t="s">
        <v>60</v>
      </c>
      <c r="G452" s="2" t="s">
        <v>61</v>
      </c>
      <c r="H452" s="2" t="s">
        <v>61</v>
      </c>
      <c r="I452" s="2" t="n">
        <v>31</v>
      </c>
      <c r="J452" s="2" t="n">
        <v>25</v>
      </c>
      <c r="K452" s="2" t="s">
        <v>1637</v>
      </c>
      <c r="L452" s="2" t="s">
        <v>198</v>
      </c>
      <c r="M452" s="2" t="n">
        <v>191</v>
      </c>
      <c r="N452" s="3" t="n">
        <v>50000</v>
      </c>
      <c r="O452" s="2"/>
      <c r="P452" s="2"/>
      <c r="Q452" s="3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4" t="s">
        <v>1638</v>
      </c>
    </row>
    <row r="453" customFormat="false" ht="15" hidden="false" customHeight="false" outlineLevel="0" collapsed="false">
      <c r="A453" s="2" t="n">
        <v>2119830</v>
      </c>
      <c r="B453" s="2" t="s">
        <v>1639</v>
      </c>
      <c r="C453" s="2" t="s">
        <v>1633</v>
      </c>
      <c r="D453" s="2" t="s">
        <v>341</v>
      </c>
      <c r="E453" s="2" t="s">
        <v>59</v>
      </c>
      <c r="F453" s="2" t="s">
        <v>60</v>
      </c>
      <c r="G453" s="2"/>
      <c r="H453" s="2"/>
      <c r="I453" s="2" t="n">
        <v>33</v>
      </c>
      <c r="J453" s="2" t="n">
        <v>18</v>
      </c>
      <c r="K453" s="2" t="s">
        <v>1640</v>
      </c>
      <c r="L453" s="2" t="s">
        <v>67</v>
      </c>
      <c r="M453" s="2" t="n">
        <v>185</v>
      </c>
      <c r="N453" s="3"/>
      <c r="O453" s="2"/>
      <c r="P453" s="2"/>
      <c r="Q453" s="3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4" t="s">
        <v>1641</v>
      </c>
    </row>
    <row r="454" customFormat="false" ht="15" hidden="false" customHeight="false" outlineLevel="0" collapsed="false">
      <c r="A454" s="2" t="n">
        <v>858006</v>
      </c>
      <c r="B454" s="2" t="s">
        <v>1642</v>
      </c>
      <c r="C454" s="2" t="s">
        <v>1633</v>
      </c>
      <c r="D454" s="2" t="s">
        <v>341</v>
      </c>
      <c r="E454" s="2" t="s">
        <v>59</v>
      </c>
      <c r="F454" s="2" t="s">
        <v>70</v>
      </c>
      <c r="G454" s="2" t="s">
        <v>75</v>
      </c>
      <c r="H454" s="2" t="s">
        <v>75</v>
      </c>
      <c r="I454" s="2" t="n">
        <v>5</v>
      </c>
      <c r="J454" s="2" t="n">
        <v>29</v>
      </c>
      <c r="K454" s="2" t="s">
        <v>1643</v>
      </c>
      <c r="L454" s="2" t="s">
        <v>110</v>
      </c>
      <c r="M454" s="2" t="n">
        <v>183</v>
      </c>
      <c r="N454" s="3" t="n">
        <v>50000</v>
      </c>
      <c r="O454" s="2"/>
      <c r="P454" s="2" t="n">
        <v>26</v>
      </c>
      <c r="Q454" s="3" t="n">
        <v>2340</v>
      </c>
      <c r="R454" s="2" t="n">
        <v>6.73</v>
      </c>
      <c r="S454" s="2" t="n">
        <v>1</v>
      </c>
      <c r="T454" s="2" t="n">
        <v>1</v>
      </c>
      <c r="U454" s="2" t="n">
        <v>0</v>
      </c>
      <c r="V454" s="2"/>
      <c r="W454" s="2"/>
      <c r="X454" s="2" t="n">
        <v>0.04</v>
      </c>
      <c r="Y454" s="2" t="n">
        <v>0.7</v>
      </c>
      <c r="Z454" s="2" t="n">
        <v>0.1</v>
      </c>
      <c r="AA454" s="2" t="n">
        <v>5.9</v>
      </c>
      <c r="AB454" s="2" t="n">
        <v>1</v>
      </c>
      <c r="AC454" s="2" t="n">
        <v>4</v>
      </c>
      <c r="AD454" s="2" t="n">
        <v>0.2</v>
      </c>
      <c r="AE454" s="2" t="n">
        <v>1</v>
      </c>
      <c r="AF454" s="2" t="n">
        <v>42.1</v>
      </c>
      <c r="AG454" s="2" t="n">
        <v>86.4</v>
      </c>
      <c r="AH454" s="2" t="n">
        <v>3</v>
      </c>
      <c r="AI454" s="2" t="n">
        <v>44</v>
      </c>
      <c r="AJ454" s="2" t="n">
        <v>0.1</v>
      </c>
      <c r="AK454" s="2" t="n">
        <v>50</v>
      </c>
      <c r="AL454" s="2"/>
      <c r="AM454" s="2"/>
      <c r="AN454" s="2" t="n">
        <v>8.9</v>
      </c>
      <c r="AO454" s="2" t="n">
        <v>0.7</v>
      </c>
      <c r="AP454" s="2" t="n">
        <v>0.7</v>
      </c>
      <c r="AQ454" s="2" t="n">
        <v>6.5</v>
      </c>
      <c r="AR454" s="2" t="n">
        <v>1.1</v>
      </c>
      <c r="AS454" s="2" t="n">
        <v>2.7</v>
      </c>
      <c r="AT454" s="2"/>
      <c r="AU454" s="2"/>
      <c r="AV454" s="2" t="n">
        <v>1</v>
      </c>
      <c r="AW454" s="2" t="n">
        <v>7</v>
      </c>
      <c r="AX454" s="2"/>
      <c r="AY454" s="2" t="n">
        <v>1</v>
      </c>
      <c r="AZ454" s="2"/>
      <c r="BA454" s="2"/>
      <c r="BB454" s="2"/>
      <c r="BC454" s="2"/>
      <c r="BD454" s="4" t="s">
        <v>1644</v>
      </c>
    </row>
    <row r="455" customFormat="false" ht="15" hidden="false" customHeight="false" outlineLevel="0" collapsed="false">
      <c r="A455" s="2" t="n">
        <v>1338699</v>
      </c>
      <c r="B455" s="2" t="s">
        <v>1645</v>
      </c>
      <c r="C455" s="2" t="s">
        <v>1633</v>
      </c>
      <c r="D455" s="2" t="s">
        <v>341</v>
      </c>
      <c r="E455" s="2" t="s">
        <v>59</v>
      </c>
      <c r="F455" s="2" t="s">
        <v>70</v>
      </c>
      <c r="G455" s="2" t="s">
        <v>75</v>
      </c>
      <c r="H455" s="2" t="s">
        <v>1646</v>
      </c>
      <c r="I455" s="2" t="n">
        <v>4</v>
      </c>
      <c r="J455" s="2" t="n">
        <v>25</v>
      </c>
      <c r="K455" s="2" t="s">
        <v>1647</v>
      </c>
      <c r="L455" s="2" t="s">
        <v>67</v>
      </c>
      <c r="M455" s="2" t="n">
        <v>184</v>
      </c>
      <c r="N455" s="3" t="n">
        <v>100409</v>
      </c>
      <c r="O455" s="2"/>
      <c r="P455" s="2" t="n">
        <v>22</v>
      </c>
      <c r="Q455" s="3" t="n">
        <v>1947</v>
      </c>
      <c r="R455" s="2" t="n">
        <v>7.17</v>
      </c>
      <c r="S455" s="2" t="n">
        <v>2</v>
      </c>
      <c r="T455" s="2" t="n">
        <v>3</v>
      </c>
      <c r="U455" s="2" t="n">
        <v>0</v>
      </c>
      <c r="V455" s="2" t="n">
        <v>1</v>
      </c>
      <c r="W455" s="2"/>
      <c r="X455" s="2" t="n">
        <v>0.14</v>
      </c>
      <c r="Y455" s="2" t="n">
        <v>0.6</v>
      </c>
      <c r="Z455" s="2" t="n">
        <v>0.2</v>
      </c>
      <c r="AA455" s="2" t="n">
        <v>21.4</v>
      </c>
      <c r="AB455" s="2" t="n">
        <v>1</v>
      </c>
      <c r="AC455" s="2" t="n">
        <v>12</v>
      </c>
      <c r="AD455" s="2" t="n">
        <v>0.6</v>
      </c>
      <c r="AE455" s="2" t="n">
        <v>1</v>
      </c>
      <c r="AF455" s="2" t="n">
        <v>37.4</v>
      </c>
      <c r="AG455" s="2" t="n">
        <v>86.4</v>
      </c>
      <c r="AH455" s="2" t="n">
        <v>2.2</v>
      </c>
      <c r="AI455" s="2" t="n">
        <v>52.7</v>
      </c>
      <c r="AJ455" s="2" t="n">
        <v>0.3</v>
      </c>
      <c r="AK455" s="2" t="n">
        <v>50</v>
      </c>
      <c r="AL455" s="2"/>
      <c r="AM455" s="2"/>
      <c r="AN455" s="2" t="n">
        <v>7</v>
      </c>
      <c r="AO455" s="2" t="n">
        <v>2.1</v>
      </c>
      <c r="AP455" s="2" t="n">
        <v>0.7</v>
      </c>
      <c r="AQ455" s="2" t="n">
        <v>3.9</v>
      </c>
      <c r="AR455" s="2" t="n">
        <v>0.3</v>
      </c>
      <c r="AS455" s="2" t="n">
        <v>4.4</v>
      </c>
      <c r="AT455" s="2" t="n">
        <v>0.1</v>
      </c>
      <c r="AU455" s="2" t="n">
        <v>1.8</v>
      </c>
      <c r="AV455" s="2" t="n">
        <v>1.5</v>
      </c>
      <c r="AW455" s="2"/>
      <c r="AX455" s="2"/>
      <c r="AY455" s="2"/>
      <c r="AZ455" s="2"/>
      <c r="BA455" s="2"/>
      <c r="BB455" s="2"/>
      <c r="BC455" s="2"/>
      <c r="BD455" s="4" t="s">
        <v>1648</v>
      </c>
    </row>
    <row r="456" customFormat="false" ht="15" hidden="false" customHeight="false" outlineLevel="0" collapsed="false">
      <c r="A456" s="2" t="n">
        <v>1170742</v>
      </c>
      <c r="B456" s="2" t="s">
        <v>1649</v>
      </c>
      <c r="C456" s="2" t="s">
        <v>1633</v>
      </c>
      <c r="D456" s="2" t="s">
        <v>341</v>
      </c>
      <c r="E456" s="2" t="s">
        <v>59</v>
      </c>
      <c r="F456" s="2" t="s">
        <v>70</v>
      </c>
      <c r="G456" s="2" t="s">
        <v>75</v>
      </c>
      <c r="H456" s="2" t="s">
        <v>75</v>
      </c>
      <c r="I456" s="2" t="n">
        <v>6</v>
      </c>
      <c r="J456" s="2" t="n">
        <v>24</v>
      </c>
      <c r="K456" s="2" t="s">
        <v>1650</v>
      </c>
      <c r="L456" s="2" t="s">
        <v>67</v>
      </c>
      <c r="M456" s="2" t="n">
        <v>191</v>
      </c>
      <c r="N456" s="3" t="n">
        <v>171018</v>
      </c>
      <c r="O456" s="2"/>
      <c r="P456" s="2" t="n">
        <v>22</v>
      </c>
      <c r="Q456" s="3" t="n">
        <v>1831</v>
      </c>
      <c r="R456" s="2" t="n">
        <v>6.86</v>
      </c>
      <c r="S456" s="2" t="n">
        <v>0</v>
      </c>
      <c r="T456" s="2" t="n">
        <v>2</v>
      </c>
      <c r="U456" s="2" t="n">
        <v>0</v>
      </c>
      <c r="V456" s="2"/>
      <c r="W456" s="2"/>
      <c r="X456" s="2" t="n">
        <v>0.1</v>
      </c>
      <c r="Y456" s="2" t="n">
        <v>0.5</v>
      </c>
      <c r="Z456" s="2" t="n">
        <v>0.2</v>
      </c>
      <c r="AA456" s="2" t="n">
        <v>20</v>
      </c>
      <c r="AB456" s="2" t="n">
        <v>1</v>
      </c>
      <c r="AC456" s="2" t="n">
        <v>2</v>
      </c>
      <c r="AD456" s="2" t="n">
        <v>0.1</v>
      </c>
      <c r="AE456" s="2"/>
      <c r="AF456" s="2" t="n">
        <v>33.7</v>
      </c>
      <c r="AG456" s="2" t="n">
        <v>85.1</v>
      </c>
      <c r="AH456" s="2" t="n">
        <v>2.1</v>
      </c>
      <c r="AI456" s="2" t="n">
        <v>40.6</v>
      </c>
      <c r="AJ456" s="2" t="n">
        <v>0.4</v>
      </c>
      <c r="AK456" s="2" t="n">
        <v>72.7</v>
      </c>
      <c r="AL456" s="2"/>
      <c r="AM456" s="2"/>
      <c r="AN456" s="2" t="n">
        <v>9.5</v>
      </c>
      <c r="AO456" s="2" t="n">
        <v>1.2</v>
      </c>
      <c r="AP456" s="2" t="n">
        <v>1.6</v>
      </c>
      <c r="AQ456" s="2" t="n">
        <v>6</v>
      </c>
      <c r="AR456" s="2" t="n">
        <v>0.7</v>
      </c>
      <c r="AS456" s="2" t="n">
        <v>2</v>
      </c>
      <c r="AT456" s="2"/>
      <c r="AU456" s="2"/>
      <c r="AV456" s="2" t="n">
        <v>0.9</v>
      </c>
      <c r="AW456" s="2" t="n">
        <v>5</v>
      </c>
      <c r="AX456" s="2" t="n">
        <v>1</v>
      </c>
      <c r="AY456" s="2"/>
      <c r="AZ456" s="2"/>
      <c r="BA456" s="2"/>
      <c r="BB456" s="2"/>
      <c r="BC456" s="2"/>
      <c r="BD456" s="4" t="s">
        <v>1651</v>
      </c>
    </row>
    <row r="457" customFormat="false" ht="15" hidden="false" customHeight="false" outlineLevel="0" collapsed="false">
      <c r="A457" s="2" t="n">
        <v>739732</v>
      </c>
      <c r="B457" s="2" t="s">
        <v>1652</v>
      </c>
      <c r="C457" s="2" t="s">
        <v>1633</v>
      </c>
      <c r="D457" s="2" t="s">
        <v>341</v>
      </c>
      <c r="E457" s="2" t="s">
        <v>59</v>
      </c>
      <c r="F457" s="2" t="s">
        <v>70</v>
      </c>
      <c r="G457" s="2" t="s">
        <v>71</v>
      </c>
      <c r="H457" s="2" t="s">
        <v>71</v>
      </c>
      <c r="I457" s="2" t="n">
        <v>23</v>
      </c>
      <c r="J457" s="2" t="n">
        <v>29</v>
      </c>
      <c r="K457" s="2" t="s">
        <v>1653</v>
      </c>
      <c r="L457" s="2" t="s">
        <v>421</v>
      </c>
      <c r="M457" s="2" t="n">
        <v>180</v>
      </c>
      <c r="N457" s="3" t="n">
        <v>50000</v>
      </c>
      <c r="O457" s="2"/>
      <c r="P457" s="2" t="n">
        <v>19</v>
      </c>
      <c r="Q457" s="3" t="n">
        <v>1393</v>
      </c>
      <c r="R457" s="2" t="n">
        <v>6.47</v>
      </c>
      <c r="S457" s="2" t="n">
        <v>0</v>
      </c>
      <c r="T457" s="2"/>
      <c r="U457" s="2"/>
      <c r="V457" s="2" t="n">
        <v>1</v>
      </c>
      <c r="W457" s="2"/>
      <c r="X457" s="2"/>
      <c r="Y457" s="2" t="n">
        <v>0.4</v>
      </c>
      <c r="Z457" s="2" t="n">
        <v>0.1</v>
      </c>
      <c r="AA457" s="2" t="n">
        <v>0</v>
      </c>
      <c r="AB457" s="2"/>
      <c r="AC457" s="2" t="n">
        <v>9</v>
      </c>
      <c r="AD457" s="2" t="n">
        <v>0.6</v>
      </c>
      <c r="AE457" s="2" t="n">
        <v>3</v>
      </c>
      <c r="AF457" s="2" t="n">
        <v>21.4</v>
      </c>
      <c r="AG457" s="2" t="n">
        <v>74.2</v>
      </c>
      <c r="AH457" s="2" t="n">
        <v>1.4</v>
      </c>
      <c r="AI457" s="2" t="n">
        <v>31.8</v>
      </c>
      <c r="AJ457" s="2" t="n">
        <v>0.5</v>
      </c>
      <c r="AK457" s="2" t="n">
        <v>38.1</v>
      </c>
      <c r="AL457" s="2"/>
      <c r="AM457" s="2"/>
      <c r="AN457" s="2" t="n">
        <v>4.7</v>
      </c>
      <c r="AO457" s="2" t="n">
        <v>1.3</v>
      </c>
      <c r="AP457" s="2" t="n">
        <v>0.6</v>
      </c>
      <c r="AQ457" s="2" t="n">
        <v>2.5</v>
      </c>
      <c r="AR457" s="2" t="n">
        <v>0.3</v>
      </c>
      <c r="AS457" s="2" t="n">
        <v>2.6</v>
      </c>
      <c r="AT457" s="2" t="n">
        <v>0.1</v>
      </c>
      <c r="AU457" s="2" t="n">
        <v>0.7</v>
      </c>
      <c r="AV457" s="2" t="n">
        <v>1.2</v>
      </c>
      <c r="AW457" s="2" t="n">
        <v>1</v>
      </c>
      <c r="AX457" s="2"/>
      <c r="AY457" s="2"/>
      <c r="AZ457" s="2"/>
      <c r="BA457" s="2"/>
      <c r="BB457" s="2"/>
      <c r="BC457" s="2"/>
      <c r="BD457" s="4" t="s">
        <v>1654</v>
      </c>
    </row>
    <row r="458" customFormat="false" ht="15" hidden="false" customHeight="false" outlineLevel="0" collapsed="false">
      <c r="A458" s="2" t="n">
        <v>1503398</v>
      </c>
      <c r="B458" s="2" t="s">
        <v>1655</v>
      </c>
      <c r="C458" s="2" t="s">
        <v>1633</v>
      </c>
      <c r="D458" s="2" t="s">
        <v>341</v>
      </c>
      <c r="E458" s="2" t="s">
        <v>59</v>
      </c>
      <c r="F458" s="2" t="s">
        <v>70</v>
      </c>
      <c r="G458" s="2" t="s">
        <v>92</v>
      </c>
      <c r="H458" s="2" t="s">
        <v>92</v>
      </c>
      <c r="I458" s="2" t="n">
        <v>21</v>
      </c>
      <c r="J458" s="2" t="n">
        <v>26</v>
      </c>
      <c r="K458" s="2" t="s">
        <v>1656</v>
      </c>
      <c r="L458" s="2" t="s">
        <v>198</v>
      </c>
      <c r="M458" s="2" t="n">
        <v>175</v>
      </c>
      <c r="N458" s="3" t="n">
        <v>96854</v>
      </c>
      <c r="O458" s="2"/>
      <c r="P458" s="2" t="n">
        <v>14</v>
      </c>
      <c r="Q458" s="3" t="n">
        <v>943</v>
      </c>
      <c r="R458" s="2"/>
      <c r="S458" s="2"/>
      <c r="T458" s="2"/>
      <c r="U458" s="2"/>
      <c r="V458" s="2" t="n">
        <v>1</v>
      </c>
      <c r="W458" s="2"/>
      <c r="X458" s="2"/>
      <c r="Y458" s="2" t="n">
        <v>0.2</v>
      </c>
      <c r="Z458" s="2"/>
      <c r="AA458" s="2" t="n">
        <v>0</v>
      </c>
      <c r="AB458" s="2"/>
      <c r="AC458" s="2" t="n">
        <v>12</v>
      </c>
      <c r="AD458" s="2" t="n">
        <v>1.1</v>
      </c>
      <c r="AE458" s="2"/>
      <c r="AF458" s="2" t="n">
        <v>25.2</v>
      </c>
      <c r="AG458" s="2" t="n">
        <v>76.3</v>
      </c>
      <c r="AH458" s="2" t="n">
        <v>1.3</v>
      </c>
      <c r="AI458" s="2" t="n">
        <v>35</v>
      </c>
      <c r="AJ458" s="2" t="n">
        <v>0.8</v>
      </c>
      <c r="AK458" s="2" t="n">
        <v>44.4</v>
      </c>
      <c r="AL458" s="2"/>
      <c r="AM458" s="2"/>
      <c r="AN458" s="2" t="n">
        <v>5.9</v>
      </c>
      <c r="AO458" s="2" t="n">
        <v>0.8</v>
      </c>
      <c r="AP458" s="2" t="n">
        <v>1.3</v>
      </c>
      <c r="AQ458" s="2" t="n">
        <v>3.4</v>
      </c>
      <c r="AR458" s="2" t="n">
        <v>0.4</v>
      </c>
      <c r="AS458" s="2" t="n">
        <v>3.6</v>
      </c>
      <c r="AT458" s="2" t="n">
        <v>0.2</v>
      </c>
      <c r="AU458" s="2" t="n">
        <v>1.5</v>
      </c>
      <c r="AV458" s="2" t="n">
        <v>1.6</v>
      </c>
      <c r="AW458" s="2" t="n">
        <v>1</v>
      </c>
      <c r="AX458" s="2"/>
      <c r="AY458" s="2"/>
      <c r="AZ458" s="2"/>
      <c r="BA458" s="2"/>
      <c r="BB458" s="2"/>
      <c r="BC458" s="2"/>
      <c r="BD458" s="4" t="s">
        <v>1657</v>
      </c>
    </row>
    <row r="459" customFormat="false" ht="15" hidden="false" customHeight="false" outlineLevel="0" collapsed="false">
      <c r="A459" s="2" t="n">
        <v>1781044</v>
      </c>
      <c r="B459" s="2" t="s">
        <v>1658</v>
      </c>
      <c r="C459" s="2" t="s">
        <v>1633</v>
      </c>
      <c r="D459" s="2" t="s">
        <v>341</v>
      </c>
      <c r="E459" s="2" t="s">
        <v>59</v>
      </c>
      <c r="F459" s="2" t="s">
        <v>70</v>
      </c>
      <c r="G459" s="2" t="s">
        <v>75</v>
      </c>
      <c r="H459" s="2" t="s">
        <v>352</v>
      </c>
      <c r="I459" s="2" t="n">
        <v>15</v>
      </c>
      <c r="J459" s="2" t="n">
        <v>17</v>
      </c>
      <c r="K459" s="2" t="s">
        <v>1659</v>
      </c>
      <c r="L459" s="2" t="s">
        <v>67</v>
      </c>
      <c r="M459" s="2" t="n">
        <v>188</v>
      </c>
      <c r="N459" s="3" t="n">
        <v>451128</v>
      </c>
      <c r="O459" s="2"/>
      <c r="P459" s="2" t="n">
        <v>15</v>
      </c>
      <c r="Q459" s="3" t="n">
        <v>681</v>
      </c>
      <c r="R459" s="2"/>
      <c r="S459" s="2"/>
      <c r="T459" s="2" t="n">
        <v>1</v>
      </c>
      <c r="U459" s="2" t="n">
        <v>0</v>
      </c>
      <c r="V459" s="2" t="n">
        <v>1</v>
      </c>
      <c r="W459" s="2"/>
      <c r="X459" s="2" t="n">
        <v>0.13</v>
      </c>
      <c r="Y459" s="2" t="n">
        <v>0.4</v>
      </c>
      <c r="Z459" s="2" t="n">
        <v>0.1</v>
      </c>
      <c r="AA459" s="2" t="n">
        <v>33.3</v>
      </c>
      <c r="AB459" s="2"/>
      <c r="AC459" s="2" t="n">
        <v>2</v>
      </c>
      <c r="AD459" s="2" t="n">
        <v>0.3</v>
      </c>
      <c r="AE459" s="2"/>
      <c r="AF459" s="2" t="n">
        <v>43.3</v>
      </c>
      <c r="AG459" s="2" t="n">
        <v>86.8</v>
      </c>
      <c r="AH459" s="2" t="n">
        <v>1.1</v>
      </c>
      <c r="AI459" s="2" t="n">
        <v>26.7</v>
      </c>
      <c r="AJ459" s="2" t="n">
        <v>0.1</v>
      </c>
      <c r="AK459" s="2" t="n">
        <v>50</v>
      </c>
      <c r="AL459" s="2"/>
      <c r="AM459" s="2"/>
      <c r="AN459" s="2" t="n">
        <v>4.6</v>
      </c>
      <c r="AO459" s="2" t="n">
        <v>0.8</v>
      </c>
      <c r="AP459" s="2" t="n">
        <v>0.5</v>
      </c>
      <c r="AQ459" s="2" t="n">
        <v>3.3</v>
      </c>
      <c r="AR459" s="2"/>
      <c r="AS459" s="2" t="n">
        <v>3.3</v>
      </c>
      <c r="AT459" s="2"/>
      <c r="AU459" s="2"/>
      <c r="AV459" s="2" t="n">
        <v>1.2</v>
      </c>
      <c r="AW459" s="2" t="n">
        <v>1</v>
      </c>
      <c r="AX459" s="2"/>
      <c r="AY459" s="2" t="n">
        <v>1</v>
      </c>
      <c r="AZ459" s="2"/>
      <c r="BA459" s="2"/>
      <c r="BB459" s="2"/>
      <c r="BC459" s="2"/>
      <c r="BD459" s="4" t="s">
        <v>1660</v>
      </c>
    </row>
    <row r="460" customFormat="false" ht="15" hidden="false" customHeight="false" outlineLevel="0" collapsed="false">
      <c r="A460" s="2" t="n">
        <v>924434</v>
      </c>
      <c r="B460" s="2" t="s">
        <v>1661</v>
      </c>
      <c r="C460" s="2" t="s">
        <v>1633</v>
      </c>
      <c r="D460" s="2" t="s">
        <v>341</v>
      </c>
      <c r="E460" s="2" t="s">
        <v>59</v>
      </c>
      <c r="F460" s="2" t="s">
        <v>70</v>
      </c>
      <c r="G460" s="2" t="s">
        <v>92</v>
      </c>
      <c r="H460" s="2" t="s">
        <v>92</v>
      </c>
      <c r="I460" s="2" t="n">
        <v>16</v>
      </c>
      <c r="J460" s="2" t="n">
        <v>26</v>
      </c>
      <c r="K460" s="2" t="s">
        <v>1662</v>
      </c>
      <c r="L460" s="2" t="s">
        <v>67</v>
      </c>
      <c r="M460" s="2" t="n">
        <v>178</v>
      </c>
      <c r="N460" s="3" t="n">
        <v>213054</v>
      </c>
      <c r="O460" s="2"/>
      <c r="P460" s="2" t="n">
        <v>5</v>
      </c>
      <c r="Q460" s="3" t="n">
        <v>390</v>
      </c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 t="n">
        <v>1</v>
      </c>
      <c r="AD460" s="2" t="n">
        <v>0.2</v>
      </c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4" t="s">
        <v>1663</v>
      </c>
    </row>
    <row r="461" customFormat="false" ht="15" hidden="false" customHeight="false" outlineLevel="0" collapsed="false">
      <c r="A461" s="2" t="n">
        <v>1769553</v>
      </c>
      <c r="B461" s="2" t="s">
        <v>1664</v>
      </c>
      <c r="C461" s="2" t="s">
        <v>1633</v>
      </c>
      <c r="D461" s="2" t="s">
        <v>341</v>
      </c>
      <c r="E461" s="2" t="s">
        <v>59</v>
      </c>
      <c r="F461" s="2" t="s">
        <v>70</v>
      </c>
      <c r="G461" s="2" t="s">
        <v>92</v>
      </c>
      <c r="H461" s="2" t="s">
        <v>92</v>
      </c>
      <c r="I461" s="2" t="n">
        <v>32</v>
      </c>
      <c r="J461" s="2" t="n">
        <v>20</v>
      </c>
      <c r="K461" s="2" t="s">
        <v>1665</v>
      </c>
      <c r="L461" s="2" t="s">
        <v>67</v>
      </c>
      <c r="M461" s="2" t="n">
        <v>180</v>
      </c>
      <c r="N461" s="3" t="n">
        <v>125254</v>
      </c>
      <c r="O461" s="2"/>
      <c r="P461" s="2" t="n">
        <v>8</v>
      </c>
      <c r="Q461" s="3" t="n">
        <v>349</v>
      </c>
      <c r="R461" s="2"/>
      <c r="S461" s="2"/>
      <c r="T461" s="2"/>
      <c r="U461" s="2"/>
      <c r="V461" s="2" t="n">
        <v>2</v>
      </c>
      <c r="W461" s="2"/>
      <c r="X461" s="2"/>
      <c r="Y461" s="2"/>
      <c r="Z461" s="2"/>
      <c r="AA461" s="2"/>
      <c r="AB461" s="2"/>
      <c r="AC461" s="2" t="n">
        <v>3</v>
      </c>
      <c r="AD461" s="2" t="n">
        <v>0.8</v>
      </c>
      <c r="AE461" s="2" t="n">
        <v>1</v>
      </c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 t="n">
        <v>2</v>
      </c>
      <c r="AX461" s="2"/>
      <c r="AY461" s="2"/>
      <c r="AZ461" s="2"/>
      <c r="BA461" s="2"/>
      <c r="BB461" s="2"/>
      <c r="BC461" s="2"/>
      <c r="BD461" s="4" t="s">
        <v>1666</v>
      </c>
    </row>
    <row r="462" customFormat="false" ht="15" hidden="false" customHeight="false" outlineLevel="0" collapsed="false">
      <c r="A462" s="2" t="n">
        <v>1642676</v>
      </c>
      <c r="B462" s="2" t="s">
        <v>1667</v>
      </c>
      <c r="C462" s="2" t="s">
        <v>1633</v>
      </c>
      <c r="D462" s="2" t="s">
        <v>341</v>
      </c>
      <c r="E462" s="2" t="s">
        <v>59</v>
      </c>
      <c r="F462" s="2" t="s">
        <v>70</v>
      </c>
      <c r="G462" s="2" t="s">
        <v>92</v>
      </c>
      <c r="H462" s="2" t="s">
        <v>92</v>
      </c>
      <c r="I462" s="2" t="n">
        <v>2</v>
      </c>
      <c r="J462" s="2" t="n">
        <v>24</v>
      </c>
      <c r="K462" s="2" t="s">
        <v>1668</v>
      </c>
      <c r="L462" s="2" t="s">
        <v>67</v>
      </c>
      <c r="M462" s="2" t="n">
        <v>178</v>
      </c>
      <c r="N462" s="3" t="n">
        <v>81685</v>
      </c>
      <c r="O462" s="2"/>
      <c r="P462" s="2" t="n">
        <v>7</v>
      </c>
      <c r="Q462" s="3" t="n">
        <v>273</v>
      </c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 t="n">
        <v>2</v>
      </c>
      <c r="AD462" s="2" t="n">
        <v>0.7</v>
      </c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4" t="s">
        <v>1669</v>
      </c>
    </row>
    <row r="463" customFormat="false" ht="15" hidden="false" customHeight="false" outlineLevel="0" collapsed="false">
      <c r="A463" s="2" t="n">
        <v>2042058</v>
      </c>
      <c r="B463" s="2" t="s">
        <v>1670</v>
      </c>
      <c r="C463" s="2" t="s">
        <v>1633</v>
      </c>
      <c r="D463" s="2" t="s">
        <v>341</v>
      </c>
      <c r="E463" s="2" t="s">
        <v>59</v>
      </c>
      <c r="F463" s="2" t="s">
        <v>70</v>
      </c>
      <c r="G463" s="2" t="s">
        <v>75</v>
      </c>
      <c r="H463" s="2" t="s">
        <v>75</v>
      </c>
      <c r="I463" s="2" t="n">
        <v>28</v>
      </c>
      <c r="J463" s="2" t="n">
        <v>17</v>
      </c>
      <c r="K463" s="2" t="s">
        <v>1671</v>
      </c>
      <c r="L463" s="2" t="s">
        <v>67</v>
      </c>
      <c r="M463" s="2" t="n">
        <v>185</v>
      </c>
      <c r="N463" s="3"/>
      <c r="O463" s="2"/>
      <c r="P463" s="2"/>
      <c r="Q463" s="3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4" t="s">
        <v>1672</v>
      </c>
    </row>
    <row r="464" customFormat="false" ht="15" hidden="false" customHeight="false" outlineLevel="0" collapsed="false">
      <c r="A464" s="2" t="n">
        <v>955005</v>
      </c>
      <c r="B464" s="2" t="s">
        <v>1673</v>
      </c>
      <c r="C464" s="2" t="s">
        <v>1633</v>
      </c>
      <c r="D464" s="2" t="s">
        <v>341</v>
      </c>
      <c r="E464" s="2" t="s">
        <v>59</v>
      </c>
      <c r="F464" s="2" t="s">
        <v>102</v>
      </c>
      <c r="G464" s="2" t="s">
        <v>404</v>
      </c>
      <c r="H464" s="2" t="s">
        <v>605</v>
      </c>
      <c r="I464" s="2" t="n">
        <v>27</v>
      </c>
      <c r="J464" s="2" t="n">
        <v>26</v>
      </c>
      <c r="K464" s="2" t="s">
        <v>1674</v>
      </c>
      <c r="L464" s="2" t="s">
        <v>679</v>
      </c>
      <c r="M464" s="2" t="n">
        <v>178</v>
      </c>
      <c r="N464" s="3" t="n">
        <v>70291</v>
      </c>
      <c r="O464" s="2"/>
      <c r="P464" s="2" t="n">
        <v>26</v>
      </c>
      <c r="Q464" s="3" t="n">
        <v>2209</v>
      </c>
      <c r="R464" s="2" t="n">
        <v>6.93</v>
      </c>
      <c r="S464" s="2" t="n">
        <v>1</v>
      </c>
      <c r="T464" s="2" t="n">
        <v>3</v>
      </c>
      <c r="U464" s="2" t="n">
        <v>0</v>
      </c>
      <c r="V464" s="2" t="n">
        <v>1</v>
      </c>
      <c r="W464" s="2"/>
      <c r="X464" s="2" t="n">
        <v>0.12</v>
      </c>
      <c r="Y464" s="2" t="n">
        <v>1</v>
      </c>
      <c r="Z464" s="2" t="n">
        <v>0.2</v>
      </c>
      <c r="AA464" s="2" t="n">
        <v>12.5</v>
      </c>
      <c r="AB464" s="2"/>
      <c r="AC464" s="2" t="n">
        <v>41</v>
      </c>
      <c r="AD464" s="2" t="n">
        <v>1.7</v>
      </c>
      <c r="AE464" s="2" t="n">
        <v>5</v>
      </c>
      <c r="AF464" s="2" t="n">
        <v>34.5</v>
      </c>
      <c r="AG464" s="2" t="n">
        <v>79.6</v>
      </c>
      <c r="AH464" s="2" t="n">
        <v>3.8</v>
      </c>
      <c r="AI464" s="2" t="n">
        <v>47.7</v>
      </c>
      <c r="AJ464" s="2" t="n">
        <v>0.3</v>
      </c>
      <c r="AK464" s="2" t="n">
        <v>57.1</v>
      </c>
      <c r="AL464" s="2"/>
      <c r="AM464" s="2"/>
      <c r="AN464" s="2" t="n">
        <v>4</v>
      </c>
      <c r="AO464" s="2" t="n">
        <v>0.5</v>
      </c>
      <c r="AP464" s="2" t="n">
        <v>0.6</v>
      </c>
      <c r="AQ464" s="2" t="n">
        <v>2.5</v>
      </c>
      <c r="AR464" s="2" t="n">
        <v>0.4</v>
      </c>
      <c r="AS464" s="2" t="n">
        <v>3.1</v>
      </c>
      <c r="AT464" s="2" t="n">
        <v>0.4</v>
      </c>
      <c r="AU464" s="2" t="n">
        <v>1.6</v>
      </c>
      <c r="AV464" s="2" t="n">
        <v>0.8</v>
      </c>
      <c r="AW464" s="2" t="n">
        <v>5</v>
      </c>
      <c r="AX464" s="2"/>
      <c r="AY464" s="2"/>
      <c r="AZ464" s="2"/>
      <c r="BA464" s="2"/>
      <c r="BB464" s="2"/>
      <c r="BC464" s="2"/>
      <c r="BD464" s="4" t="s">
        <v>1675</v>
      </c>
    </row>
    <row r="465" customFormat="false" ht="15" hidden="false" customHeight="false" outlineLevel="0" collapsed="false">
      <c r="A465" s="2" t="n">
        <v>1138504</v>
      </c>
      <c r="B465" s="2" t="s">
        <v>1676</v>
      </c>
      <c r="C465" s="2" t="s">
        <v>1633</v>
      </c>
      <c r="D465" s="2" t="s">
        <v>341</v>
      </c>
      <c r="E465" s="2" t="s">
        <v>59</v>
      </c>
      <c r="F465" s="2" t="s">
        <v>102</v>
      </c>
      <c r="G465" s="2" t="s">
        <v>221</v>
      </c>
      <c r="H465" s="2" t="s">
        <v>1677</v>
      </c>
      <c r="I465" s="2" t="n">
        <v>10</v>
      </c>
      <c r="J465" s="2" t="n">
        <v>24</v>
      </c>
      <c r="K465" s="2" t="s">
        <v>1678</v>
      </c>
      <c r="L465" s="2" t="s">
        <v>67</v>
      </c>
      <c r="M465" s="2" t="n">
        <v>175</v>
      </c>
      <c r="N465" s="3" t="n">
        <v>283586</v>
      </c>
      <c r="O465" s="2"/>
      <c r="P465" s="2" t="n">
        <v>26</v>
      </c>
      <c r="Q465" s="3" t="n">
        <v>2011</v>
      </c>
      <c r="R465" s="2" t="n">
        <v>7.06</v>
      </c>
      <c r="S465" s="2" t="n">
        <v>2</v>
      </c>
      <c r="T465" s="2" t="n">
        <v>3</v>
      </c>
      <c r="U465" s="2" t="n">
        <v>0</v>
      </c>
      <c r="V465" s="2" t="n">
        <v>5</v>
      </c>
      <c r="W465" s="2"/>
      <c r="X465" s="2" t="n">
        <v>0.13</v>
      </c>
      <c r="Y465" s="2" t="n">
        <v>1.6</v>
      </c>
      <c r="Z465" s="2" t="n">
        <v>0.4</v>
      </c>
      <c r="AA465" s="2" t="n">
        <v>8.3</v>
      </c>
      <c r="AB465" s="2" t="n">
        <v>1</v>
      </c>
      <c r="AC465" s="2" t="n">
        <v>34</v>
      </c>
      <c r="AD465" s="2" t="n">
        <v>1.5</v>
      </c>
      <c r="AE465" s="2" t="n">
        <v>8</v>
      </c>
      <c r="AF465" s="2" t="n">
        <v>25.2</v>
      </c>
      <c r="AG465" s="2" t="n">
        <v>87.3</v>
      </c>
      <c r="AH465" s="2" t="n">
        <v>2.1</v>
      </c>
      <c r="AI465" s="2" t="n">
        <v>69.6</v>
      </c>
      <c r="AJ465" s="2" t="n">
        <v>0.6</v>
      </c>
      <c r="AK465" s="2" t="n">
        <v>42.4</v>
      </c>
      <c r="AL465" s="2"/>
      <c r="AM465" s="2"/>
      <c r="AN465" s="2" t="n">
        <v>2.2</v>
      </c>
      <c r="AO465" s="2" t="n">
        <v>0.9</v>
      </c>
      <c r="AP465" s="2" t="n">
        <v>0.3</v>
      </c>
      <c r="AQ465" s="2" t="n">
        <v>0.9</v>
      </c>
      <c r="AR465" s="2" t="n">
        <v>0.1</v>
      </c>
      <c r="AS465" s="2" t="n">
        <v>3.4</v>
      </c>
      <c r="AT465" s="2" t="n">
        <v>0.3</v>
      </c>
      <c r="AU465" s="2" t="n">
        <v>1.6</v>
      </c>
      <c r="AV465" s="2" t="n">
        <v>1.3</v>
      </c>
      <c r="AW465" s="2" t="n">
        <v>3</v>
      </c>
      <c r="AX465" s="2"/>
      <c r="AY465" s="2"/>
      <c r="AZ465" s="2"/>
      <c r="BA465" s="2"/>
      <c r="BB465" s="2"/>
      <c r="BC465" s="2"/>
      <c r="BD465" s="4" t="s">
        <v>1679</v>
      </c>
    </row>
    <row r="466" customFormat="false" ht="15" hidden="false" customHeight="false" outlineLevel="0" collapsed="false">
      <c r="A466" s="2" t="n">
        <v>1614618</v>
      </c>
      <c r="B466" s="2" t="s">
        <v>1680</v>
      </c>
      <c r="C466" s="2" t="s">
        <v>1633</v>
      </c>
      <c r="D466" s="2" t="s">
        <v>341</v>
      </c>
      <c r="E466" s="2" t="s">
        <v>59</v>
      </c>
      <c r="F466" s="2" t="s">
        <v>102</v>
      </c>
      <c r="G466" s="2" t="s">
        <v>113</v>
      </c>
      <c r="H466" s="2" t="s">
        <v>1681</v>
      </c>
      <c r="I466" s="2" t="n">
        <v>8</v>
      </c>
      <c r="J466" s="2" t="n">
        <v>25</v>
      </c>
      <c r="K466" s="2" t="s">
        <v>1682</v>
      </c>
      <c r="L466" s="2" t="s">
        <v>89</v>
      </c>
      <c r="M466" s="2" t="n">
        <v>173</v>
      </c>
      <c r="N466" s="3" t="n">
        <v>100721</v>
      </c>
      <c r="O466" s="2"/>
      <c r="P466" s="2" t="n">
        <v>24</v>
      </c>
      <c r="Q466" s="3" t="n">
        <v>1638</v>
      </c>
      <c r="R466" s="2" t="n">
        <v>6.94</v>
      </c>
      <c r="S466" s="2" t="n">
        <v>1</v>
      </c>
      <c r="T466" s="2" t="n">
        <v>5</v>
      </c>
      <c r="U466" s="2" t="n">
        <v>0</v>
      </c>
      <c r="V466" s="2" t="n">
        <v>1</v>
      </c>
      <c r="W466" s="2"/>
      <c r="X466" s="2" t="n">
        <v>0.27</v>
      </c>
      <c r="Y466" s="2" t="n">
        <v>1.4</v>
      </c>
      <c r="Z466" s="2" t="n">
        <v>0.5</v>
      </c>
      <c r="AA466" s="2" t="n">
        <v>19.2</v>
      </c>
      <c r="AB466" s="2" t="n">
        <v>5</v>
      </c>
      <c r="AC466" s="2" t="n">
        <v>19</v>
      </c>
      <c r="AD466" s="2" t="n">
        <v>1</v>
      </c>
      <c r="AE466" s="2" t="n">
        <v>5</v>
      </c>
      <c r="AF466" s="2" t="n">
        <v>27.6</v>
      </c>
      <c r="AG466" s="2" t="n">
        <v>84.4</v>
      </c>
      <c r="AH466" s="2" t="n">
        <v>1.2</v>
      </c>
      <c r="AI466" s="2" t="n">
        <v>70</v>
      </c>
      <c r="AJ466" s="2" t="n">
        <v>1.3</v>
      </c>
      <c r="AK466" s="2" t="n">
        <v>41.8</v>
      </c>
      <c r="AL466" s="2"/>
      <c r="AM466" s="2"/>
      <c r="AN466" s="2" t="n">
        <v>3.2</v>
      </c>
      <c r="AO466" s="2" t="n">
        <v>2.2</v>
      </c>
      <c r="AP466" s="2" t="n">
        <v>0.5</v>
      </c>
      <c r="AQ466" s="2" t="n">
        <v>0.5</v>
      </c>
      <c r="AR466" s="2"/>
      <c r="AS466" s="2" t="n">
        <v>3.7</v>
      </c>
      <c r="AT466" s="2" t="n">
        <v>0.3</v>
      </c>
      <c r="AU466" s="2" t="n">
        <v>2.5</v>
      </c>
      <c r="AV466" s="2" t="n">
        <v>2</v>
      </c>
      <c r="AW466" s="2" t="n">
        <v>3</v>
      </c>
      <c r="AX466" s="2"/>
      <c r="AY466" s="2"/>
      <c r="AZ466" s="2"/>
      <c r="BA466" s="2"/>
      <c r="BB466" s="2"/>
      <c r="BC466" s="2"/>
      <c r="BD466" s="4" t="s">
        <v>1683</v>
      </c>
    </row>
    <row r="467" customFormat="false" ht="15" hidden="false" customHeight="false" outlineLevel="0" collapsed="false">
      <c r="A467" s="2" t="n">
        <v>1804503</v>
      </c>
      <c r="B467" s="2" t="s">
        <v>1684</v>
      </c>
      <c r="C467" s="2" t="s">
        <v>1633</v>
      </c>
      <c r="D467" s="2" t="s">
        <v>341</v>
      </c>
      <c r="E467" s="2" t="s">
        <v>59</v>
      </c>
      <c r="F467" s="2" t="s">
        <v>102</v>
      </c>
      <c r="G467" s="2" t="s">
        <v>103</v>
      </c>
      <c r="H467" s="2" t="s">
        <v>123</v>
      </c>
      <c r="I467" s="2" t="n">
        <v>25</v>
      </c>
      <c r="J467" s="2" t="n">
        <v>18</v>
      </c>
      <c r="K467" s="2" t="s">
        <v>1685</v>
      </c>
      <c r="L467" s="2" t="s">
        <v>67</v>
      </c>
      <c r="M467" s="2" t="n">
        <v>175</v>
      </c>
      <c r="N467" s="3"/>
      <c r="O467" s="2"/>
      <c r="P467" s="2" t="n">
        <v>15</v>
      </c>
      <c r="Q467" s="3" t="n">
        <v>921</v>
      </c>
      <c r="R467" s="2" t="n">
        <v>6.71</v>
      </c>
      <c r="S467" s="2" t="n">
        <v>0</v>
      </c>
      <c r="T467" s="2" t="n">
        <v>1</v>
      </c>
      <c r="U467" s="2" t="n">
        <v>0</v>
      </c>
      <c r="V467" s="2"/>
      <c r="W467" s="2"/>
      <c r="X467" s="2" t="n">
        <v>0.1</v>
      </c>
      <c r="Y467" s="2" t="n">
        <v>0.3</v>
      </c>
      <c r="Z467" s="2" t="n">
        <v>0.1</v>
      </c>
      <c r="AA467" s="2" t="n">
        <v>33.3</v>
      </c>
      <c r="AB467" s="2"/>
      <c r="AC467" s="2" t="n">
        <v>3</v>
      </c>
      <c r="AD467" s="2" t="n">
        <v>0.3</v>
      </c>
      <c r="AE467" s="2"/>
      <c r="AF467" s="2" t="n">
        <v>36.2</v>
      </c>
      <c r="AG467" s="2" t="n">
        <v>82</v>
      </c>
      <c r="AH467" s="2" t="n">
        <v>2.9</v>
      </c>
      <c r="AI467" s="2" t="n">
        <v>58.8</v>
      </c>
      <c r="AJ467" s="2" t="n">
        <v>0.5</v>
      </c>
      <c r="AK467" s="2" t="n">
        <v>62.5</v>
      </c>
      <c r="AL467" s="2"/>
      <c r="AM467" s="2"/>
      <c r="AN467" s="2" t="n">
        <v>7</v>
      </c>
      <c r="AO467" s="2" t="n">
        <v>1.6</v>
      </c>
      <c r="AP467" s="2" t="n">
        <v>0.8</v>
      </c>
      <c r="AQ467" s="2" t="n">
        <v>3.6</v>
      </c>
      <c r="AR467" s="2" t="n">
        <v>1.1</v>
      </c>
      <c r="AS467" s="2" t="n">
        <v>4.5</v>
      </c>
      <c r="AT467" s="2" t="n">
        <v>0.1</v>
      </c>
      <c r="AU467" s="2" t="n">
        <v>2.4</v>
      </c>
      <c r="AV467" s="2" t="n">
        <v>1.3</v>
      </c>
      <c r="AW467" s="2" t="n">
        <v>3</v>
      </c>
      <c r="AX467" s="2"/>
      <c r="AY467" s="2"/>
      <c r="AZ467" s="2"/>
      <c r="BA467" s="2"/>
      <c r="BB467" s="2"/>
      <c r="BC467" s="2"/>
      <c r="BD467" s="4" t="s">
        <v>1686</v>
      </c>
    </row>
    <row r="468" customFormat="false" ht="15" hidden="false" customHeight="false" outlineLevel="0" collapsed="false">
      <c r="A468" s="2" t="n">
        <v>1136257</v>
      </c>
      <c r="B468" s="2" t="s">
        <v>1687</v>
      </c>
      <c r="C468" s="2" t="s">
        <v>1633</v>
      </c>
      <c r="D468" s="2" t="s">
        <v>341</v>
      </c>
      <c r="E468" s="2" t="s">
        <v>59</v>
      </c>
      <c r="F468" s="2" t="s">
        <v>102</v>
      </c>
      <c r="G468" s="2" t="s">
        <v>147</v>
      </c>
      <c r="H468" s="2" t="s">
        <v>1688</v>
      </c>
      <c r="I468" s="2" t="n">
        <v>18</v>
      </c>
      <c r="J468" s="2" t="n">
        <v>25</v>
      </c>
      <c r="K468" s="2" t="s">
        <v>1689</v>
      </c>
      <c r="L468" s="2" t="s">
        <v>67</v>
      </c>
      <c r="M468" s="2" t="n">
        <v>173</v>
      </c>
      <c r="N468" s="3" t="n">
        <v>83439</v>
      </c>
      <c r="O468" s="2"/>
      <c r="P468" s="2" t="n">
        <v>17</v>
      </c>
      <c r="Q468" s="3" t="n">
        <v>794</v>
      </c>
      <c r="R468" s="2" t="n">
        <v>6.74</v>
      </c>
      <c r="S468" s="2" t="n">
        <v>0</v>
      </c>
      <c r="T468" s="2"/>
      <c r="U468" s="2"/>
      <c r="V468" s="2" t="n">
        <v>2</v>
      </c>
      <c r="W468" s="2"/>
      <c r="X468" s="2"/>
      <c r="Y468" s="2" t="n">
        <v>1.1</v>
      </c>
      <c r="Z468" s="2" t="n">
        <v>0.2</v>
      </c>
      <c r="AA468" s="2" t="n">
        <v>0</v>
      </c>
      <c r="AB468" s="2"/>
      <c r="AC468" s="2" t="n">
        <v>14</v>
      </c>
      <c r="AD468" s="2" t="n">
        <v>1.6</v>
      </c>
      <c r="AE468" s="2" t="n">
        <v>4</v>
      </c>
      <c r="AF468" s="2" t="n">
        <v>30.5</v>
      </c>
      <c r="AG468" s="2" t="n">
        <v>85.4</v>
      </c>
      <c r="AH468" s="2" t="n">
        <v>1.9</v>
      </c>
      <c r="AI468" s="2" t="n">
        <v>60.7</v>
      </c>
      <c r="AJ468" s="2" t="n">
        <v>1.4</v>
      </c>
      <c r="AK468" s="2" t="n">
        <v>66.7</v>
      </c>
      <c r="AL468" s="2"/>
      <c r="AM468" s="2"/>
      <c r="AN468" s="2" t="n">
        <v>3.2</v>
      </c>
      <c r="AO468" s="2" t="n">
        <v>1.1</v>
      </c>
      <c r="AP468" s="2" t="n">
        <v>1</v>
      </c>
      <c r="AQ468" s="2" t="n">
        <v>0.8</v>
      </c>
      <c r="AR468" s="2" t="n">
        <v>0.2</v>
      </c>
      <c r="AS468" s="2" t="n">
        <v>3.7</v>
      </c>
      <c r="AT468" s="2" t="n">
        <v>0.3</v>
      </c>
      <c r="AU468" s="2" t="n">
        <v>2</v>
      </c>
      <c r="AV468" s="2" t="n">
        <v>1.6</v>
      </c>
      <c r="AW468" s="2" t="n">
        <v>3</v>
      </c>
      <c r="AX468" s="2"/>
      <c r="AY468" s="2"/>
      <c r="AZ468" s="2"/>
      <c r="BA468" s="2"/>
      <c r="BB468" s="2"/>
      <c r="BC468" s="2"/>
      <c r="BD468" s="4" t="s">
        <v>1690</v>
      </c>
    </row>
    <row r="469" customFormat="false" ht="15" hidden="false" customHeight="false" outlineLevel="0" collapsed="false">
      <c r="A469" s="2" t="n">
        <v>937937</v>
      </c>
      <c r="B469" s="2" t="s">
        <v>1691</v>
      </c>
      <c r="C469" s="2" t="s">
        <v>1633</v>
      </c>
      <c r="D469" s="2" t="s">
        <v>341</v>
      </c>
      <c r="E469" s="2" t="s">
        <v>59</v>
      </c>
      <c r="F469" s="2" t="s">
        <v>102</v>
      </c>
      <c r="G469" s="2" t="s">
        <v>103</v>
      </c>
      <c r="H469" s="2" t="s">
        <v>123</v>
      </c>
      <c r="I469" s="2" t="n">
        <v>19</v>
      </c>
      <c r="J469" s="2" t="n">
        <v>31</v>
      </c>
      <c r="K469" s="2" t="s">
        <v>1692</v>
      </c>
      <c r="L469" s="2" t="s">
        <v>67</v>
      </c>
      <c r="M469" s="2" t="n">
        <v>175</v>
      </c>
      <c r="N469" s="3" t="n">
        <v>50000</v>
      </c>
      <c r="O469" s="2"/>
      <c r="P469" s="2" t="n">
        <v>9</v>
      </c>
      <c r="Q469" s="3" t="n">
        <v>587</v>
      </c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 t="n">
        <v>3</v>
      </c>
      <c r="AD469" s="2" t="n">
        <v>0.5</v>
      </c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4" t="s">
        <v>1693</v>
      </c>
    </row>
    <row r="470" customFormat="false" ht="15" hidden="false" customHeight="false" outlineLevel="0" collapsed="false">
      <c r="A470" s="2" t="n">
        <v>2221959</v>
      </c>
      <c r="B470" s="2" t="s">
        <v>1694</v>
      </c>
      <c r="C470" s="2" t="s">
        <v>1633</v>
      </c>
      <c r="D470" s="2" t="s">
        <v>341</v>
      </c>
      <c r="E470" s="2" t="s">
        <v>59</v>
      </c>
      <c r="F470" s="2" t="s">
        <v>102</v>
      </c>
      <c r="G470" s="2"/>
      <c r="H470" s="2"/>
      <c r="I470" s="2" t="n">
        <v>50</v>
      </c>
      <c r="J470" s="2" t="n">
        <v>19</v>
      </c>
      <c r="K470" s="2" t="s">
        <v>1695</v>
      </c>
      <c r="L470" s="2" t="s">
        <v>67</v>
      </c>
      <c r="M470" s="2"/>
      <c r="N470" s="3"/>
      <c r="O470" s="2"/>
      <c r="P470" s="2" t="n">
        <v>1</v>
      </c>
      <c r="Q470" s="3" t="n">
        <v>45</v>
      </c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4" t="s">
        <v>1696</v>
      </c>
    </row>
    <row r="471" customFormat="false" ht="15" hidden="false" customHeight="false" outlineLevel="0" collapsed="false">
      <c r="A471" s="2" t="n">
        <v>1472288</v>
      </c>
      <c r="B471" s="2" t="s">
        <v>1697</v>
      </c>
      <c r="C471" s="2" t="s">
        <v>1633</v>
      </c>
      <c r="D471" s="2" t="s">
        <v>341</v>
      </c>
      <c r="E471" s="2" t="s">
        <v>59</v>
      </c>
      <c r="F471" s="2" t="s">
        <v>137</v>
      </c>
      <c r="G471" s="2" t="s">
        <v>147</v>
      </c>
      <c r="H471" s="2" t="s">
        <v>1698</v>
      </c>
      <c r="I471" s="2" t="n">
        <v>11</v>
      </c>
      <c r="J471" s="2" t="n">
        <v>27</v>
      </c>
      <c r="K471" s="2" t="s">
        <v>1699</v>
      </c>
      <c r="L471" s="2" t="s">
        <v>1544</v>
      </c>
      <c r="M471" s="2" t="n">
        <v>185</v>
      </c>
      <c r="N471" s="3" t="n">
        <v>61554</v>
      </c>
      <c r="O471" s="2"/>
      <c r="P471" s="2" t="n">
        <v>22</v>
      </c>
      <c r="Q471" s="3" t="n">
        <v>1568</v>
      </c>
      <c r="R471" s="2" t="n">
        <v>6.68</v>
      </c>
      <c r="S471" s="2" t="n">
        <v>0</v>
      </c>
      <c r="T471" s="2" t="n">
        <v>4</v>
      </c>
      <c r="U471" s="2" t="n">
        <v>0</v>
      </c>
      <c r="V471" s="2"/>
      <c r="W471" s="2"/>
      <c r="X471" s="2" t="n">
        <v>0.23</v>
      </c>
      <c r="Y471" s="2" t="n">
        <v>2.6</v>
      </c>
      <c r="Z471" s="2" t="n">
        <v>1</v>
      </c>
      <c r="AA471" s="2" t="n">
        <v>8.7</v>
      </c>
      <c r="AB471" s="2" t="n">
        <v>7</v>
      </c>
      <c r="AC471" s="2" t="n">
        <v>9</v>
      </c>
      <c r="AD471" s="2" t="n">
        <v>0.5</v>
      </c>
      <c r="AE471" s="2" t="n">
        <v>2</v>
      </c>
      <c r="AF471" s="2" t="n">
        <v>10</v>
      </c>
      <c r="AG471" s="2" t="n">
        <v>60</v>
      </c>
      <c r="AH471" s="2" t="n">
        <v>0.6</v>
      </c>
      <c r="AI471" s="2" t="n">
        <v>37.9</v>
      </c>
      <c r="AJ471" s="2" t="n">
        <v>0.6</v>
      </c>
      <c r="AK471" s="2" t="n">
        <v>37.9</v>
      </c>
      <c r="AL471" s="2"/>
      <c r="AM471" s="2"/>
      <c r="AN471" s="2" t="n">
        <v>2.2</v>
      </c>
      <c r="AO471" s="2" t="n">
        <v>1.1</v>
      </c>
      <c r="AP471" s="2" t="n">
        <v>0.2</v>
      </c>
      <c r="AQ471" s="2" t="n">
        <v>0.8</v>
      </c>
      <c r="AR471" s="2" t="n">
        <v>0.1</v>
      </c>
      <c r="AS471" s="2" t="n">
        <v>1.9</v>
      </c>
      <c r="AT471" s="2" t="n">
        <v>0.2</v>
      </c>
      <c r="AU471" s="2" t="n">
        <v>1.1</v>
      </c>
      <c r="AV471" s="2" t="n">
        <v>1.3</v>
      </c>
      <c r="AW471" s="2" t="n">
        <v>3</v>
      </c>
      <c r="AX471" s="2"/>
      <c r="AY471" s="2"/>
      <c r="AZ471" s="2"/>
      <c r="BA471" s="2"/>
      <c r="BB471" s="2"/>
      <c r="BC471" s="2"/>
      <c r="BD471" s="4" t="s">
        <v>1700</v>
      </c>
    </row>
    <row r="472" customFormat="false" ht="15" hidden="false" customHeight="false" outlineLevel="0" collapsed="false">
      <c r="A472" s="2" t="n">
        <v>1634983</v>
      </c>
      <c r="B472" s="2" t="s">
        <v>1701</v>
      </c>
      <c r="C472" s="2" t="s">
        <v>1633</v>
      </c>
      <c r="D472" s="2" t="s">
        <v>341</v>
      </c>
      <c r="E472" s="2" t="s">
        <v>59</v>
      </c>
      <c r="F472" s="2" t="s">
        <v>137</v>
      </c>
      <c r="G472" s="2" t="s">
        <v>147</v>
      </c>
      <c r="H472" s="2" t="s">
        <v>1702</v>
      </c>
      <c r="I472" s="2" t="n">
        <v>12</v>
      </c>
      <c r="J472" s="2" t="n">
        <v>27</v>
      </c>
      <c r="K472" s="2" t="s">
        <v>1703</v>
      </c>
      <c r="L472" s="2" t="s">
        <v>1704</v>
      </c>
      <c r="M472" s="2" t="n">
        <v>188</v>
      </c>
      <c r="N472" s="3" t="n">
        <v>87129</v>
      </c>
      <c r="O472" s="2"/>
      <c r="P472" s="2" t="n">
        <v>23</v>
      </c>
      <c r="Q472" s="3" t="n">
        <v>1401</v>
      </c>
      <c r="R472" s="2" t="n">
        <v>7.01</v>
      </c>
      <c r="S472" s="2" t="n">
        <v>3</v>
      </c>
      <c r="T472" s="2" t="n">
        <v>9</v>
      </c>
      <c r="U472" s="2" t="n">
        <v>1</v>
      </c>
      <c r="V472" s="2" t="n">
        <v>2</v>
      </c>
      <c r="W472" s="2"/>
      <c r="X472" s="2" t="n">
        <v>0.58</v>
      </c>
      <c r="Y472" s="2" t="n">
        <v>2.4</v>
      </c>
      <c r="Z472" s="2" t="n">
        <v>1</v>
      </c>
      <c r="AA472" s="2" t="n">
        <v>23.7</v>
      </c>
      <c r="AB472" s="2" t="n">
        <v>4</v>
      </c>
      <c r="AC472" s="2" t="n">
        <v>15</v>
      </c>
      <c r="AD472" s="2" t="n">
        <v>1</v>
      </c>
      <c r="AE472" s="2" t="n">
        <v>3</v>
      </c>
      <c r="AF472" s="2" t="n">
        <v>9.1</v>
      </c>
      <c r="AG472" s="2" t="n">
        <v>66.5</v>
      </c>
      <c r="AH472" s="2" t="n">
        <v>0.1</v>
      </c>
      <c r="AI472" s="2" t="n">
        <v>18.2</v>
      </c>
      <c r="AJ472" s="2" t="n">
        <v>0.4</v>
      </c>
      <c r="AK472" s="2" t="n">
        <v>40</v>
      </c>
      <c r="AL472" s="2"/>
      <c r="AM472" s="2"/>
      <c r="AN472" s="2" t="n">
        <v>2.7</v>
      </c>
      <c r="AO472" s="2" t="n">
        <v>1</v>
      </c>
      <c r="AP472" s="2" t="n">
        <v>0.6</v>
      </c>
      <c r="AQ472" s="2" t="n">
        <v>0.9</v>
      </c>
      <c r="AR472" s="2" t="n">
        <v>0.3</v>
      </c>
      <c r="AS472" s="2" t="n">
        <v>1.3</v>
      </c>
      <c r="AT472" s="2" t="n">
        <v>0.1</v>
      </c>
      <c r="AU472" s="2" t="n">
        <v>0.8</v>
      </c>
      <c r="AV472" s="2" t="n">
        <v>1</v>
      </c>
      <c r="AW472" s="2"/>
      <c r="AX472" s="2"/>
      <c r="AY472" s="2"/>
      <c r="AZ472" s="2"/>
      <c r="BA472" s="2"/>
      <c r="BB472" s="2"/>
      <c r="BC472" s="2"/>
      <c r="BD472" s="4" t="s">
        <v>1705</v>
      </c>
    </row>
    <row r="473" customFormat="false" ht="15" hidden="false" customHeight="false" outlineLevel="0" collapsed="false">
      <c r="A473" s="2" t="n">
        <v>738060</v>
      </c>
      <c r="B473" s="2" t="s">
        <v>1706</v>
      </c>
      <c r="C473" s="2" t="s">
        <v>1633</v>
      </c>
      <c r="D473" s="2" t="s">
        <v>341</v>
      </c>
      <c r="E473" s="2" t="s">
        <v>59</v>
      </c>
      <c r="F473" s="2" t="s">
        <v>137</v>
      </c>
      <c r="G473" s="2" t="s">
        <v>147</v>
      </c>
      <c r="H473" s="2" t="s">
        <v>147</v>
      </c>
      <c r="I473" s="2" t="n">
        <v>9</v>
      </c>
      <c r="J473" s="2" t="n">
        <v>28</v>
      </c>
      <c r="K473" s="2" t="s">
        <v>1707</v>
      </c>
      <c r="L473" s="2" t="s">
        <v>67</v>
      </c>
      <c r="M473" s="2" t="n">
        <v>185</v>
      </c>
      <c r="N473" s="3" t="n">
        <v>79124</v>
      </c>
      <c r="O473" s="2"/>
      <c r="P473" s="2" t="n">
        <v>19</v>
      </c>
      <c r="Q473" s="3" t="n">
        <v>641</v>
      </c>
      <c r="R473" s="2" t="n">
        <v>6.24</v>
      </c>
      <c r="S473" s="2" t="n">
        <v>0</v>
      </c>
      <c r="T473" s="2"/>
      <c r="U473" s="2"/>
      <c r="V473" s="2" t="n">
        <v>1</v>
      </c>
      <c r="W473" s="2"/>
      <c r="X473" s="2"/>
      <c r="Y473" s="2" t="n">
        <v>0.7</v>
      </c>
      <c r="Z473" s="2" t="n">
        <v>0.1</v>
      </c>
      <c r="AA473" s="2" t="n">
        <v>0</v>
      </c>
      <c r="AB473" s="2" t="n">
        <v>1</v>
      </c>
      <c r="AC473" s="2" t="n">
        <v>5</v>
      </c>
      <c r="AD473" s="2" t="n">
        <v>0.7</v>
      </c>
      <c r="AE473" s="2"/>
      <c r="AF473" s="2" t="n">
        <v>18</v>
      </c>
      <c r="AG473" s="2" t="n">
        <v>72.7</v>
      </c>
      <c r="AH473" s="2" t="n">
        <v>0.4</v>
      </c>
      <c r="AI473" s="2" t="n">
        <v>60</v>
      </c>
      <c r="AJ473" s="2"/>
      <c r="AK473" s="2"/>
      <c r="AL473" s="2"/>
      <c r="AM473" s="2"/>
      <c r="AN473" s="2" t="n">
        <v>3.7</v>
      </c>
      <c r="AO473" s="2" t="n">
        <v>0.4</v>
      </c>
      <c r="AP473" s="2" t="n">
        <v>0.1</v>
      </c>
      <c r="AQ473" s="2" t="n">
        <v>3.1</v>
      </c>
      <c r="AR473" s="2"/>
      <c r="AS473" s="2" t="n">
        <v>1.5</v>
      </c>
      <c r="AT473" s="2" t="n">
        <v>0.3</v>
      </c>
      <c r="AU473" s="2" t="n">
        <v>1</v>
      </c>
      <c r="AV473" s="2" t="n">
        <v>1.5</v>
      </c>
      <c r="AW473" s="2" t="n">
        <v>1</v>
      </c>
      <c r="AX473" s="2"/>
      <c r="AY473" s="2"/>
      <c r="AZ473" s="2"/>
      <c r="BA473" s="2"/>
      <c r="BB473" s="2"/>
      <c r="BC473" s="2"/>
      <c r="BD473" s="4" t="s">
        <v>1708</v>
      </c>
    </row>
    <row r="474" customFormat="false" ht="15" hidden="false" customHeight="false" outlineLevel="0" collapsed="false">
      <c r="A474" s="2" t="n">
        <v>1756472</v>
      </c>
      <c r="B474" s="2" t="s">
        <v>1709</v>
      </c>
      <c r="C474" s="2" t="s">
        <v>1633</v>
      </c>
      <c r="D474" s="2" t="s">
        <v>341</v>
      </c>
      <c r="E474" s="2" t="s">
        <v>59</v>
      </c>
      <c r="F474" s="2" t="s">
        <v>137</v>
      </c>
      <c r="G474" s="2" t="s">
        <v>138</v>
      </c>
      <c r="H474" s="2" t="s">
        <v>411</v>
      </c>
      <c r="I474" s="2" t="n">
        <v>17</v>
      </c>
      <c r="J474" s="2" t="n">
        <v>18</v>
      </c>
      <c r="K474" s="2" t="s">
        <v>1710</v>
      </c>
      <c r="L474" s="2" t="s">
        <v>67</v>
      </c>
      <c r="M474" s="2" t="n">
        <v>175</v>
      </c>
      <c r="N474" s="3" t="n">
        <v>472520</v>
      </c>
      <c r="O474" s="2"/>
      <c r="P474" s="2" t="n">
        <v>9</v>
      </c>
      <c r="Q474" s="3" t="n">
        <v>362</v>
      </c>
      <c r="R474" s="2"/>
      <c r="S474" s="2"/>
      <c r="T474" s="2"/>
      <c r="U474" s="2"/>
      <c r="V474" s="2" t="n">
        <v>1</v>
      </c>
      <c r="W474" s="2"/>
      <c r="X474" s="2"/>
      <c r="Y474" s="2"/>
      <c r="Z474" s="2"/>
      <c r="AA474" s="2"/>
      <c r="AB474" s="2"/>
      <c r="AC474" s="2" t="n">
        <v>4</v>
      </c>
      <c r="AD474" s="2" t="n">
        <v>1</v>
      </c>
      <c r="AE474" s="2" t="n">
        <v>1</v>
      </c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4" t="s">
        <v>1711</v>
      </c>
    </row>
    <row r="475" customFormat="false" ht="15" hidden="false" customHeight="false" outlineLevel="0" collapsed="false">
      <c r="A475" s="2" t="n">
        <v>1439802</v>
      </c>
      <c r="B475" s="2" t="s">
        <v>1712</v>
      </c>
      <c r="C475" s="2" t="s">
        <v>1633</v>
      </c>
      <c r="D475" s="2" t="s">
        <v>341</v>
      </c>
      <c r="E475" s="2" t="s">
        <v>59</v>
      </c>
      <c r="F475" s="2" t="s">
        <v>137</v>
      </c>
      <c r="G475" s="2" t="s">
        <v>133</v>
      </c>
      <c r="H475" s="2" t="s">
        <v>133</v>
      </c>
      <c r="I475" s="2" t="n">
        <v>14</v>
      </c>
      <c r="J475" s="2" t="n">
        <v>24</v>
      </c>
      <c r="K475" s="2" t="s">
        <v>1713</v>
      </c>
      <c r="L475" s="2" t="s">
        <v>116</v>
      </c>
      <c r="M475" s="2" t="n">
        <v>183</v>
      </c>
      <c r="N475" s="3" t="n">
        <v>81921</v>
      </c>
      <c r="O475" s="2"/>
      <c r="P475" s="2" t="n">
        <v>11</v>
      </c>
      <c r="Q475" s="3" t="n">
        <v>331</v>
      </c>
      <c r="R475" s="2"/>
      <c r="S475" s="2"/>
      <c r="T475" s="2"/>
      <c r="U475" s="2"/>
      <c r="V475" s="2" t="n">
        <v>1</v>
      </c>
      <c r="W475" s="2"/>
      <c r="X475" s="2"/>
      <c r="Y475" s="2"/>
      <c r="Z475" s="2"/>
      <c r="AA475" s="2"/>
      <c r="AB475" s="2"/>
      <c r="AC475" s="2" t="n">
        <v>5</v>
      </c>
      <c r="AD475" s="2" t="n">
        <v>1.4</v>
      </c>
      <c r="AE475" s="2"/>
      <c r="AF475" s="2"/>
      <c r="AG475" s="2"/>
      <c r="AH475" s="2"/>
      <c r="AI475" s="2"/>
      <c r="AJ475" s="2"/>
      <c r="AK475" s="2"/>
      <c r="AL475" s="2" t="n">
        <v>1</v>
      </c>
      <c r="AM475" s="2" t="n">
        <v>3.5</v>
      </c>
      <c r="AN475" s="2"/>
      <c r="AO475" s="2"/>
      <c r="AP475" s="2"/>
      <c r="AQ475" s="2"/>
      <c r="AR475" s="2"/>
      <c r="AS475" s="2"/>
      <c r="AT475" s="2"/>
      <c r="AU475" s="2"/>
      <c r="AV475" s="2"/>
      <c r="AW475" s="2" t="n">
        <v>1</v>
      </c>
      <c r="AX475" s="2"/>
      <c r="AY475" s="2"/>
      <c r="AZ475" s="2"/>
      <c r="BA475" s="2"/>
      <c r="BB475" s="2"/>
      <c r="BC475" s="2"/>
      <c r="BD475" s="4" t="s">
        <v>1714</v>
      </c>
    </row>
    <row r="476" customFormat="false" ht="15" hidden="false" customHeight="false" outlineLevel="0" collapsed="false">
      <c r="A476" s="2" t="n">
        <v>1299720</v>
      </c>
      <c r="B476" s="2" t="s">
        <v>1715</v>
      </c>
      <c r="C476" s="2" t="s">
        <v>1633</v>
      </c>
      <c r="D476" s="2" t="s">
        <v>341</v>
      </c>
      <c r="E476" s="2" t="s">
        <v>59</v>
      </c>
      <c r="F476" s="2" t="s">
        <v>137</v>
      </c>
      <c r="G476" s="2" t="s">
        <v>133</v>
      </c>
      <c r="H476" s="2" t="s">
        <v>133</v>
      </c>
      <c r="I476" s="2" t="n">
        <v>20</v>
      </c>
      <c r="J476" s="2" t="n">
        <v>21</v>
      </c>
      <c r="K476" s="2" t="s">
        <v>1716</v>
      </c>
      <c r="L476" s="2" t="s">
        <v>116</v>
      </c>
      <c r="M476" s="2" t="n">
        <v>185</v>
      </c>
      <c r="N476" s="3" t="n">
        <v>428483</v>
      </c>
      <c r="O476" s="2"/>
      <c r="P476" s="2" t="n">
        <v>10</v>
      </c>
      <c r="Q476" s="3" t="n">
        <v>276</v>
      </c>
      <c r="R476" s="2"/>
      <c r="S476" s="2"/>
      <c r="T476" s="2" t="n">
        <v>1</v>
      </c>
      <c r="U476" s="2" t="n">
        <v>0</v>
      </c>
      <c r="V476" s="2"/>
      <c r="W476" s="2"/>
      <c r="X476" s="2"/>
      <c r="Y476" s="2"/>
      <c r="Z476" s="2"/>
      <c r="AA476" s="2"/>
      <c r="AB476" s="2"/>
      <c r="AC476" s="2" t="n">
        <v>2</v>
      </c>
      <c r="AD476" s="2" t="n">
        <v>0.7</v>
      </c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4" t="s">
        <v>1717</v>
      </c>
    </row>
    <row r="477" customFormat="false" ht="15" hidden="false" customHeight="false" outlineLevel="0" collapsed="false">
      <c r="A477" s="2" t="n">
        <v>1780592</v>
      </c>
      <c r="B477" s="2" t="s">
        <v>1718</v>
      </c>
      <c r="C477" s="2" t="s">
        <v>1633</v>
      </c>
      <c r="D477" s="2" t="s">
        <v>341</v>
      </c>
      <c r="E477" s="2" t="s">
        <v>59</v>
      </c>
      <c r="F477" s="2" t="s">
        <v>137</v>
      </c>
      <c r="G477" s="2" t="s">
        <v>133</v>
      </c>
      <c r="H477" s="2" t="s">
        <v>133</v>
      </c>
      <c r="I477" s="2" t="n">
        <v>22</v>
      </c>
      <c r="J477" s="2" t="n">
        <v>16</v>
      </c>
      <c r="K477" s="2" t="s">
        <v>1719</v>
      </c>
      <c r="L477" s="2" t="s">
        <v>67</v>
      </c>
      <c r="M477" s="2" t="n">
        <v>183</v>
      </c>
      <c r="N477" s="3"/>
      <c r="O477" s="2"/>
      <c r="P477" s="2" t="n">
        <v>5</v>
      </c>
      <c r="Q477" s="3" t="n">
        <v>213</v>
      </c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 t="n">
        <v>1</v>
      </c>
      <c r="AZ477" s="2"/>
      <c r="BA477" s="2"/>
      <c r="BB477" s="2"/>
      <c r="BC477" s="2"/>
      <c r="BD477" s="4" t="s">
        <v>1720</v>
      </c>
    </row>
    <row r="478" customFormat="false" ht="15" hidden="false" customHeight="false" outlineLevel="0" collapsed="false">
      <c r="A478" s="2" t="n">
        <v>1760451</v>
      </c>
      <c r="B478" s="2" t="s">
        <v>1721</v>
      </c>
      <c r="C478" s="2" t="s">
        <v>1633</v>
      </c>
      <c r="D478" s="2" t="s">
        <v>341</v>
      </c>
      <c r="E478" s="2" t="s">
        <v>59</v>
      </c>
      <c r="F478" s="2" t="s">
        <v>137</v>
      </c>
      <c r="G478" s="2" t="s">
        <v>147</v>
      </c>
      <c r="H478" s="2" t="s">
        <v>1722</v>
      </c>
      <c r="I478" s="2" t="n">
        <v>7</v>
      </c>
      <c r="J478" s="2" t="n">
        <v>22</v>
      </c>
      <c r="K478" s="2" t="s">
        <v>1723</v>
      </c>
      <c r="L478" s="2" t="s">
        <v>116</v>
      </c>
      <c r="M478" s="2" t="n">
        <v>191</v>
      </c>
      <c r="N478" s="3"/>
      <c r="O478" s="2"/>
      <c r="P478" s="2" t="n">
        <v>3</v>
      </c>
      <c r="Q478" s="3" t="n">
        <v>184</v>
      </c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 t="n">
        <v>1</v>
      </c>
      <c r="AC478" s="2" t="n">
        <v>1</v>
      </c>
      <c r="AD478" s="2" t="n">
        <v>0.5</v>
      </c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4" t="s">
        <v>1724</v>
      </c>
    </row>
    <row r="479" customFormat="false" ht="15" hidden="false" customHeight="false" outlineLevel="0" collapsed="false">
      <c r="A479" s="2" t="n">
        <v>2068688</v>
      </c>
      <c r="B479" s="2" t="s">
        <v>1725</v>
      </c>
      <c r="C479" s="2" t="s">
        <v>1633</v>
      </c>
      <c r="D479" s="2" t="s">
        <v>341</v>
      </c>
      <c r="E479" s="2" t="s">
        <v>59</v>
      </c>
      <c r="F479" s="2" t="s">
        <v>137</v>
      </c>
      <c r="G479" s="2"/>
      <c r="H479" s="2"/>
      <c r="I479" s="2" t="n">
        <v>35</v>
      </c>
      <c r="J479" s="2" t="n">
        <v>17</v>
      </c>
      <c r="K479" s="2" t="s">
        <v>1726</v>
      </c>
      <c r="L479" s="2" t="s">
        <v>67</v>
      </c>
      <c r="M479" s="2" t="n">
        <v>178</v>
      </c>
      <c r="N479" s="3"/>
      <c r="O479" s="2"/>
      <c r="P479" s="2" t="n">
        <v>1</v>
      </c>
      <c r="Q479" s="3" t="n">
        <v>52</v>
      </c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4" t="s">
        <v>1727</v>
      </c>
    </row>
    <row r="480" customFormat="false" ht="15" hidden="false" customHeight="false" outlineLevel="0" collapsed="false">
      <c r="A480" s="2" t="n">
        <v>2068689</v>
      </c>
      <c r="B480" s="2" t="s">
        <v>1728</v>
      </c>
      <c r="C480" s="2" t="s">
        <v>1633</v>
      </c>
      <c r="D480" s="2" t="s">
        <v>341</v>
      </c>
      <c r="E480" s="2" t="s">
        <v>59</v>
      </c>
      <c r="F480" s="2" t="s">
        <v>137</v>
      </c>
      <c r="G480" s="2" t="s">
        <v>103</v>
      </c>
      <c r="H480" s="2" t="s">
        <v>103</v>
      </c>
      <c r="I480" s="2" t="n">
        <v>30</v>
      </c>
      <c r="J480" s="2" t="n">
        <v>17</v>
      </c>
      <c r="K480" s="2" t="s">
        <v>609</v>
      </c>
      <c r="L480" s="2" t="s">
        <v>67</v>
      </c>
      <c r="M480" s="2" t="n">
        <v>178</v>
      </c>
      <c r="N480" s="3"/>
      <c r="O480" s="2"/>
      <c r="P480" s="2" t="n">
        <v>2</v>
      </c>
      <c r="Q480" s="3" t="n">
        <v>3</v>
      </c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4" t="s">
        <v>1729</v>
      </c>
    </row>
    <row r="481" customFormat="false" ht="15" hidden="false" customHeight="false" outlineLevel="0" collapsed="false">
      <c r="A481" s="2" t="n">
        <v>2140685</v>
      </c>
      <c r="B481" s="2" t="s">
        <v>1730</v>
      </c>
      <c r="C481" s="2" t="s">
        <v>1633</v>
      </c>
      <c r="D481" s="2" t="s">
        <v>341</v>
      </c>
      <c r="E481" s="2" t="s">
        <v>59</v>
      </c>
      <c r="F481" s="2" t="s">
        <v>137</v>
      </c>
      <c r="G481" s="2"/>
      <c r="H481" s="2"/>
      <c r="I481" s="2" t="n">
        <v>29</v>
      </c>
      <c r="J481" s="2" t="n">
        <v>0</v>
      </c>
      <c r="K481" s="2"/>
      <c r="L481" s="2" t="s">
        <v>67</v>
      </c>
      <c r="M481" s="2" t="n">
        <v>178</v>
      </c>
      <c r="N481" s="3"/>
      <c r="O481" s="2"/>
      <c r="P481" s="2"/>
      <c r="Q481" s="3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4" t="s">
        <v>1731</v>
      </c>
    </row>
    <row r="482" customFormat="false" ht="15" hidden="false" customHeight="false" outlineLevel="0" collapsed="false">
      <c r="A482" s="2" t="n">
        <v>278865</v>
      </c>
      <c r="B482" s="2" t="s">
        <v>1732</v>
      </c>
      <c r="C482" s="2" t="s">
        <v>1733</v>
      </c>
      <c r="D482" s="2" t="s">
        <v>341</v>
      </c>
      <c r="E482" s="2" t="s">
        <v>59</v>
      </c>
      <c r="F482" s="2" t="s">
        <v>60</v>
      </c>
      <c r="G482" s="2" t="s">
        <v>61</v>
      </c>
      <c r="H482" s="2" t="s">
        <v>61</v>
      </c>
      <c r="I482" s="2" t="n">
        <v>1</v>
      </c>
      <c r="J482" s="2" t="n">
        <v>33</v>
      </c>
      <c r="K482" s="2" t="s">
        <v>1734</v>
      </c>
      <c r="L482" s="2" t="s">
        <v>1000</v>
      </c>
      <c r="M482" s="2" t="n">
        <v>188</v>
      </c>
      <c r="N482" s="3" t="n">
        <v>50000</v>
      </c>
      <c r="O482" s="2"/>
      <c r="P482" s="2" t="n">
        <v>22</v>
      </c>
      <c r="Q482" s="3" t="n">
        <v>1980</v>
      </c>
      <c r="R482" s="2" t="n">
        <v>6.54</v>
      </c>
      <c r="S482" s="2" t="n">
        <v>0</v>
      </c>
      <c r="T482" s="2"/>
      <c r="U482" s="2"/>
      <c r="V482" s="2"/>
      <c r="W482" s="2"/>
      <c r="X482" s="2"/>
      <c r="Y482" s="2"/>
      <c r="Z482" s="2"/>
      <c r="AA482" s="2"/>
      <c r="AB482" s="2"/>
      <c r="AC482" s="2" t="n">
        <v>3</v>
      </c>
      <c r="AD482" s="2" t="n">
        <v>0.1</v>
      </c>
      <c r="AE482" s="2" t="n">
        <v>1</v>
      </c>
      <c r="AF482" s="2" t="n">
        <v>25.9</v>
      </c>
      <c r="AG482" s="2" t="n">
        <v>77</v>
      </c>
      <c r="AH482" s="2"/>
      <c r="AI482" s="2"/>
      <c r="AJ482" s="2"/>
      <c r="AK482" s="2"/>
      <c r="AL482" s="2"/>
      <c r="AM482" s="2"/>
      <c r="AN482" s="2" t="n">
        <v>0.4</v>
      </c>
      <c r="AO482" s="2"/>
      <c r="AP482" s="2"/>
      <c r="AQ482" s="2" t="n">
        <v>0.4</v>
      </c>
      <c r="AR482" s="2"/>
      <c r="AS482" s="2" t="n">
        <v>9.6</v>
      </c>
      <c r="AT482" s="2"/>
      <c r="AU482" s="2"/>
      <c r="AV482" s="2"/>
      <c r="AW482" s="2"/>
      <c r="AX482" s="2"/>
      <c r="AY482" s="2"/>
      <c r="AZ482" s="2" t="n">
        <v>5</v>
      </c>
      <c r="BA482" s="2" t="n">
        <v>2.4</v>
      </c>
      <c r="BB482" s="2" t="n">
        <v>61.9</v>
      </c>
      <c r="BC482" s="2" t="n">
        <v>1.5</v>
      </c>
      <c r="BD482" s="4" t="s">
        <v>1735</v>
      </c>
    </row>
    <row r="483" customFormat="false" ht="15" hidden="false" customHeight="false" outlineLevel="0" collapsed="false">
      <c r="A483" s="2" t="n">
        <v>1205694</v>
      </c>
      <c r="B483" s="2" t="s">
        <v>1736</v>
      </c>
      <c r="C483" s="2" t="s">
        <v>1733</v>
      </c>
      <c r="D483" s="2" t="s">
        <v>341</v>
      </c>
      <c r="E483" s="2" t="s">
        <v>59</v>
      </c>
      <c r="F483" s="2" t="s">
        <v>60</v>
      </c>
      <c r="G483" s="2" t="s">
        <v>61</v>
      </c>
      <c r="H483" s="2" t="s">
        <v>61</v>
      </c>
      <c r="I483" s="2" t="n">
        <v>14</v>
      </c>
      <c r="J483" s="2" t="n">
        <v>23</v>
      </c>
      <c r="K483" s="2" t="s">
        <v>1737</v>
      </c>
      <c r="L483" s="2" t="s">
        <v>67</v>
      </c>
      <c r="M483" s="2" t="n">
        <v>203</v>
      </c>
      <c r="N483" s="3" t="n">
        <v>141240</v>
      </c>
      <c r="O483" s="2"/>
      <c r="P483" s="2" t="n">
        <v>4</v>
      </c>
      <c r="Q483" s="3" t="n">
        <v>360</v>
      </c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4" t="s">
        <v>1738</v>
      </c>
    </row>
    <row r="484" customFormat="false" ht="15" hidden="false" customHeight="false" outlineLevel="0" collapsed="false">
      <c r="A484" s="2" t="n">
        <v>1793926</v>
      </c>
      <c r="B484" s="2" t="s">
        <v>1739</v>
      </c>
      <c r="C484" s="2" t="s">
        <v>1733</v>
      </c>
      <c r="D484" s="2" t="s">
        <v>341</v>
      </c>
      <c r="E484" s="2" t="s">
        <v>59</v>
      </c>
      <c r="F484" s="2" t="s">
        <v>60</v>
      </c>
      <c r="G484" s="2"/>
      <c r="H484" s="2"/>
      <c r="I484" s="2" t="n">
        <v>76</v>
      </c>
      <c r="J484" s="2" t="n">
        <v>18</v>
      </c>
      <c r="K484" s="2" t="s">
        <v>1740</v>
      </c>
      <c r="L484" s="2" t="s">
        <v>67</v>
      </c>
      <c r="M484" s="2" t="n">
        <v>193</v>
      </c>
      <c r="N484" s="3"/>
      <c r="O484" s="2"/>
      <c r="P484" s="2"/>
      <c r="Q484" s="3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4" t="s">
        <v>1741</v>
      </c>
    </row>
    <row r="485" customFormat="false" ht="15" hidden="false" customHeight="false" outlineLevel="0" collapsed="false">
      <c r="A485" s="2" t="n">
        <v>1188662</v>
      </c>
      <c r="B485" s="2" t="s">
        <v>1742</v>
      </c>
      <c r="C485" s="2" t="s">
        <v>1733</v>
      </c>
      <c r="D485" s="2" t="s">
        <v>341</v>
      </c>
      <c r="E485" s="2" t="s">
        <v>59</v>
      </c>
      <c r="F485" s="2" t="s">
        <v>70</v>
      </c>
      <c r="G485" s="2" t="s">
        <v>92</v>
      </c>
      <c r="H485" s="2" t="s">
        <v>1743</v>
      </c>
      <c r="I485" s="2" t="n">
        <v>2</v>
      </c>
      <c r="J485" s="2" t="n">
        <v>22</v>
      </c>
      <c r="K485" s="2" t="s">
        <v>1744</v>
      </c>
      <c r="L485" s="2" t="s">
        <v>67</v>
      </c>
      <c r="M485" s="2" t="n">
        <v>178</v>
      </c>
      <c r="N485" s="3" t="n">
        <v>198643</v>
      </c>
      <c r="O485" s="2"/>
      <c r="P485" s="2" t="n">
        <v>24</v>
      </c>
      <c r="Q485" s="3" t="n">
        <v>1755</v>
      </c>
      <c r="R485" s="2" t="n">
        <v>6.78</v>
      </c>
      <c r="S485" s="2" t="n">
        <v>0</v>
      </c>
      <c r="T485" s="2"/>
      <c r="U485" s="2"/>
      <c r="V485" s="2"/>
      <c r="W485" s="2"/>
      <c r="X485" s="2"/>
      <c r="Y485" s="2" t="n">
        <v>0.8</v>
      </c>
      <c r="Z485" s="2" t="n">
        <v>0.2</v>
      </c>
      <c r="AA485" s="2" t="n">
        <v>0</v>
      </c>
      <c r="AB485" s="2" t="n">
        <v>2</v>
      </c>
      <c r="AC485" s="2" t="n">
        <v>15</v>
      </c>
      <c r="AD485" s="2" t="n">
        <v>0.8</v>
      </c>
      <c r="AE485" s="2" t="n">
        <v>5</v>
      </c>
      <c r="AF485" s="2" t="n">
        <v>27.1</v>
      </c>
      <c r="AG485" s="2" t="n">
        <v>82</v>
      </c>
      <c r="AH485" s="2" t="n">
        <v>1.4</v>
      </c>
      <c r="AI485" s="2" t="n">
        <v>47.4</v>
      </c>
      <c r="AJ485" s="2" t="n">
        <v>0.5</v>
      </c>
      <c r="AK485" s="2" t="n">
        <v>55.6</v>
      </c>
      <c r="AL485" s="2"/>
      <c r="AM485" s="2"/>
      <c r="AN485" s="2" t="n">
        <v>4.6</v>
      </c>
      <c r="AO485" s="2" t="n">
        <v>1.3</v>
      </c>
      <c r="AP485" s="2" t="n">
        <v>0.6</v>
      </c>
      <c r="AQ485" s="2" t="n">
        <v>2.6</v>
      </c>
      <c r="AR485" s="2" t="n">
        <v>0.2</v>
      </c>
      <c r="AS485" s="2" t="n">
        <v>3.7</v>
      </c>
      <c r="AT485" s="2" t="n">
        <v>0.2</v>
      </c>
      <c r="AU485" s="2" t="n">
        <v>1</v>
      </c>
      <c r="AV485" s="2" t="n">
        <v>1.5</v>
      </c>
      <c r="AW485" s="2" t="n">
        <v>4</v>
      </c>
      <c r="AX485" s="2"/>
      <c r="AY485" s="2"/>
      <c r="AZ485" s="2"/>
      <c r="BA485" s="2"/>
      <c r="BB485" s="2"/>
      <c r="BC485" s="2"/>
      <c r="BD485" s="4" t="s">
        <v>1745</v>
      </c>
    </row>
    <row r="486" customFormat="false" ht="15" hidden="false" customHeight="false" outlineLevel="0" collapsed="false">
      <c r="A486" s="2" t="n">
        <v>1341109</v>
      </c>
      <c r="B486" s="2" t="s">
        <v>1746</v>
      </c>
      <c r="C486" s="2" t="s">
        <v>1733</v>
      </c>
      <c r="D486" s="2" t="s">
        <v>341</v>
      </c>
      <c r="E486" s="2" t="s">
        <v>59</v>
      </c>
      <c r="F486" s="2" t="s">
        <v>70</v>
      </c>
      <c r="G486" s="2" t="s">
        <v>71</v>
      </c>
      <c r="H486" s="2" t="s">
        <v>1747</v>
      </c>
      <c r="I486" s="2" t="n">
        <v>20</v>
      </c>
      <c r="J486" s="2" t="n">
        <v>27</v>
      </c>
      <c r="K486" s="2" t="s">
        <v>1748</v>
      </c>
      <c r="L486" s="2" t="s">
        <v>67</v>
      </c>
      <c r="M486" s="2" t="n">
        <v>183</v>
      </c>
      <c r="N486" s="3" t="n">
        <v>83007</v>
      </c>
      <c r="O486" s="2"/>
      <c r="P486" s="2" t="n">
        <v>23</v>
      </c>
      <c r="Q486" s="3" t="n">
        <v>1707</v>
      </c>
      <c r="R486" s="2" t="n">
        <v>6.53</v>
      </c>
      <c r="S486" s="2" t="n">
        <v>0</v>
      </c>
      <c r="T486" s="2"/>
      <c r="U486" s="2"/>
      <c r="V486" s="2"/>
      <c r="W486" s="2"/>
      <c r="X486" s="2"/>
      <c r="Y486" s="2" t="n">
        <v>0.4</v>
      </c>
      <c r="Z486" s="2" t="n">
        <v>0.1</v>
      </c>
      <c r="AA486" s="2" t="n">
        <v>0</v>
      </c>
      <c r="AB486" s="2"/>
      <c r="AC486" s="2" t="n">
        <v>8</v>
      </c>
      <c r="AD486" s="2" t="n">
        <v>0.4</v>
      </c>
      <c r="AE486" s="2" t="n">
        <v>1</v>
      </c>
      <c r="AF486" s="2" t="n">
        <v>34.3</v>
      </c>
      <c r="AG486" s="2" t="n">
        <v>84.4</v>
      </c>
      <c r="AH486" s="2" t="n">
        <v>2.7</v>
      </c>
      <c r="AI486" s="2" t="n">
        <v>55.4</v>
      </c>
      <c r="AJ486" s="2" t="n">
        <v>0.5</v>
      </c>
      <c r="AK486" s="2" t="n">
        <v>76.9</v>
      </c>
      <c r="AL486" s="2"/>
      <c r="AM486" s="2"/>
      <c r="AN486" s="2" t="n">
        <v>4.8</v>
      </c>
      <c r="AO486" s="2" t="n">
        <v>1.4</v>
      </c>
      <c r="AP486" s="2" t="n">
        <v>0.7</v>
      </c>
      <c r="AQ486" s="2" t="n">
        <v>2.4</v>
      </c>
      <c r="AR486" s="2" t="n">
        <v>0.3</v>
      </c>
      <c r="AS486" s="2" t="n">
        <v>3.6</v>
      </c>
      <c r="AT486" s="2" t="n">
        <v>0.1</v>
      </c>
      <c r="AU486" s="2" t="n">
        <v>1.6</v>
      </c>
      <c r="AV486" s="2" t="n">
        <v>1.6</v>
      </c>
      <c r="AW486" s="2" t="n">
        <v>7</v>
      </c>
      <c r="AX486" s="2" t="n">
        <v>3</v>
      </c>
      <c r="AY486" s="2"/>
      <c r="AZ486" s="2"/>
      <c r="BA486" s="2"/>
      <c r="BB486" s="2"/>
      <c r="BC486" s="2"/>
      <c r="BD486" s="4" t="s">
        <v>1749</v>
      </c>
    </row>
    <row r="487" customFormat="false" ht="15" hidden="false" customHeight="false" outlineLevel="0" collapsed="false">
      <c r="A487" s="2" t="n">
        <v>1611497</v>
      </c>
      <c r="B487" s="2" t="s">
        <v>1750</v>
      </c>
      <c r="C487" s="2" t="s">
        <v>1733</v>
      </c>
      <c r="D487" s="2" t="s">
        <v>341</v>
      </c>
      <c r="E487" s="2" t="s">
        <v>59</v>
      </c>
      <c r="F487" s="2" t="s">
        <v>70</v>
      </c>
      <c r="G487" s="2" t="s">
        <v>75</v>
      </c>
      <c r="H487" s="2" t="s">
        <v>75</v>
      </c>
      <c r="I487" s="2" t="n">
        <v>4</v>
      </c>
      <c r="J487" s="2" t="n">
        <v>22</v>
      </c>
      <c r="K487" s="2" t="s">
        <v>1751</v>
      </c>
      <c r="L487" s="2" t="s">
        <v>89</v>
      </c>
      <c r="M487" s="2" t="n">
        <v>190</v>
      </c>
      <c r="N487" s="3" t="n">
        <v>180362</v>
      </c>
      <c r="O487" s="2"/>
      <c r="P487" s="2" t="n">
        <v>20</v>
      </c>
      <c r="Q487" s="3" t="n">
        <v>1630</v>
      </c>
      <c r="R487" s="2" t="n">
        <v>6.87</v>
      </c>
      <c r="S487" s="2" t="n">
        <v>0</v>
      </c>
      <c r="T487" s="2"/>
      <c r="U487" s="2"/>
      <c r="V487" s="2" t="n">
        <v>1</v>
      </c>
      <c r="W487" s="2"/>
      <c r="X487" s="2"/>
      <c r="Y487" s="2" t="n">
        <v>0.7</v>
      </c>
      <c r="Z487" s="2" t="n">
        <v>0.1</v>
      </c>
      <c r="AA487" s="2" t="n">
        <v>0</v>
      </c>
      <c r="AB487" s="2" t="n">
        <v>2</v>
      </c>
      <c r="AC487" s="2" t="n">
        <v>5</v>
      </c>
      <c r="AD487" s="2" t="n">
        <v>0.3</v>
      </c>
      <c r="AE487" s="2" t="n">
        <v>1</v>
      </c>
      <c r="AF487" s="2" t="n">
        <v>44</v>
      </c>
      <c r="AG487" s="2" t="n">
        <v>82.6</v>
      </c>
      <c r="AH487" s="2" t="n">
        <v>5.4</v>
      </c>
      <c r="AI487" s="2" t="n">
        <v>49.2</v>
      </c>
      <c r="AJ487" s="2" t="n">
        <v>0.2</v>
      </c>
      <c r="AK487" s="2" t="n">
        <v>100</v>
      </c>
      <c r="AL487" s="2"/>
      <c r="AM487" s="2"/>
      <c r="AN487" s="2" t="n">
        <v>8.3</v>
      </c>
      <c r="AO487" s="2" t="n">
        <v>1.3</v>
      </c>
      <c r="AP487" s="2" t="n">
        <v>1.1</v>
      </c>
      <c r="AQ487" s="2" t="n">
        <v>5.4</v>
      </c>
      <c r="AR487" s="2" t="n">
        <v>0.4</v>
      </c>
      <c r="AS487" s="2" t="n">
        <v>3.8</v>
      </c>
      <c r="AT487" s="2"/>
      <c r="AU487" s="2"/>
      <c r="AV487" s="2" t="n">
        <v>0.9</v>
      </c>
      <c r="AW487" s="2" t="n">
        <v>3</v>
      </c>
      <c r="AX487" s="2"/>
      <c r="AY487" s="2"/>
      <c r="AZ487" s="2"/>
      <c r="BA487" s="2"/>
      <c r="BB487" s="2"/>
      <c r="BC487" s="2"/>
      <c r="BD487" s="4" t="s">
        <v>1752</v>
      </c>
    </row>
    <row r="488" customFormat="false" ht="15" hidden="false" customHeight="false" outlineLevel="0" collapsed="false">
      <c r="A488" s="2" t="n">
        <v>1190668</v>
      </c>
      <c r="B488" s="2" t="s">
        <v>1753</v>
      </c>
      <c r="C488" s="2" t="s">
        <v>1733</v>
      </c>
      <c r="D488" s="2" t="s">
        <v>341</v>
      </c>
      <c r="E488" s="2" t="s">
        <v>59</v>
      </c>
      <c r="F488" s="2" t="s">
        <v>70</v>
      </c>
      <c r="G488" s="2" t="s">
        <v>71</v>
      </c>
      <c r="H488" s="2" t="s">
        <v>1284</v>
      </c>
      <c r="I488" s="2" t="n">
        <v>87</v>
      </c>
      <c r="J488" s="2" t="n">
        <v>23</v>
      </c>
      <c r="K488" s="2" t="s">
        <v>1754</v>
      </c>
      <c r="L488" s="2" t="s">
        <v>346</v>
      </c>
      <c r="M488" s="2" t="n">
        <v>178</v>
      </c>
      <c r="N488" s="3" t="n">
        <v>68062</v>
      </c>
      <c r="O488" s="2"/>
      <c r="P488" s="2" t="n">
        <v>20</v>
      </c>
      <c r="Q488" s="3" t="n">
        <v>1151</v>
      </c>
      <c r="R488" s="2" t="n">
        <v>6.51</v>
      </c>
      <c r="S488" s="2" t="n">
        <v>0</v>
      </c>
      <c r="T488" s="2" t="n">
        <v>2</v>
      </c>
      <c r="U488" s="2" t="n">
        <v>0</v>
      </c>
      <c r="V488" s="2" t="n">
        <v>1</v>
      </c>
      <c r="W488" s="2"/>
      <c r="X488" s="2" t="n">
        <v>0.16</v>
      </c>
      <c r="Y488" s="2" t="n">
        <v>0.5</v>
      </c>
      <c r="Z488" s="2" t="n">
        <v>0.3</v>
      </c>
      <c r="AA488" s="2" t="n">
        <v>33.3</v>
      </c>
      <c r="AB488" s="2"/>
      <c r="AC488" s="2" t="n">
        <v>13</v>
      </c>
      <c r="AD488" s="2" t="n">
        <v>1</v>
      </c>
      <c r="AE488" s="2" t="n">
        <v>5</v>
      </c>
      <c r="AF488" s="2" t="n">
        <v>23.9</v>
      </c>
      <c r="AG488" s="2" t="n">
        <v>85</v>
      </c>
      <c r="AH488" s="2" t="n">
        <v>1.2</v>
      </c>
      <c r="AI488" s="2" t="n">
        <v>50</v>
      </c>
      <c r="AJ488" s="2" t="n">
        <v>0.3</v>
      </c>
      <c r="AK488" s="2" t="n">
        <v>36.4</v>
      </c>
      <c r="AL488" s="2"/>
      <c r="AM488" s="2"/>
      <c r="AN488" s="2" t="n">
        <v>3.9</v>
      </c>
      <c r="AO488" s="2" t="n">
        <v>0.7</v>
      </c>
      <c r="AP488" s="2" t="n">
        <v>0.9</v>
      </c>
      <c r="AQ488" s="2" t="n">
        <v>2.2</v>
      </c>
      <c r="AR488" s="2" t="n">
        <v>0.1</v>
      </c>
      <c r="AS488" s="2" t="n">
        <v>3.1</v>
      </c>
      <c r="AT488" s="2" t="n">
        <v>0.2</v>
      </c>
      <c r="AU488" s="2" t="n">
        <v>1.6</v>
      </c>
      <c r="AV488" s="2" t="n">
        <v>0.9</v>
      </c>
      <c r="AW488" s="2" t="n">
        <v>3</v>
      </c>
      <c r="AX488" s="2"/>
      <c r="AY488" s="2" t="n">
        <v>1</v>
      </c>
      <c r="AZ488" s="2"/>
      <c r="BA488" s="2"/>
      <c r="BB488" s="2"/>
      <c r="BC488" s="2"/>
      <c r="BD488" s="4" t="s">
        <v>1755</v>
      </c>
    </row>
    <row r="489" customFormat="false" ht="15" hidden="false" customHeight="false" outlineLevel="0" collapsed="false">
      <c r="A489" s="2" t="n">
        <v>1276594</v>
      </c>
      <c r="B489" s="2" t="s">
        <v>1756</v>
      </c>
      <c r="C489" s="2" t="s">
        <v>1733</v>
      </c>
      <c r="D489" s="2" t="s">
        <v>341</v>
      </c>
      <c r="E489" s="2" t="s">
        <v>59</v>
      </c>
      <c r="F489" s="2" t="s">
        <v>70</v>
      </c>
      <c r="G489" s="2" t="s">
        <v>75</v>
      </c>
      <c r="H489" s="2" t="s">
        <v>1757</v>
      </c>
      <c r="I489" s="2" t="n">
        <v>51</v>
      </c>
      <c r="J489" s="2" t="n">
        <v>23</v>
      </c>
      <c r="K489" s="2" t="s">
        <v>1758</v>
      </c>
      <c r="L489" s="2" t="s">
        <v>529</v>
      </c>
      <c r="M489" s="2" t="n">
        <v>185</v>
      </c>
      <c r="N489" s="3" t="n">
        <v>108812</v>
      </c>
      <c r="O489" s="2"/>
      <c r="P489" s="2" t="n">
        <v>14</v>
      </c>
      <c r="Q489" s="3" t="n">
        <v>1044</v>
      </c>
      <c r="R489" s="2" t="n">
        <v>6.67</v>
      </c>
      <c r="S489" s="2" t="n">
        <v>1</v>
      </c>
      <c r="T489" s="2"/>
      <c r="U489" s="2"/>
      <c r="V489" s="2"/>
      <c r="W489" s="2"/>
      <c r="X489" s="2"/>
      <c r="Y489" s="2" t="n">
        <v>0.4</v>
      </c>
      <c r="Z489" s="2"/>
      <c r="AA489" s="2" t="n">
        <v>0</v>
      </c>
      <c r="AB489" s="2" t="n">
        <v>1</v>
      </c>
      <c r="AC489" s="2" t="n">
        <v>1</v>
      </c>
      <c r="AD489" s="2" t="n">
        <v>0.1</v>
      </c>
      <c r="AE489" s="2"/>
      <c r="AF489" s="2" t="n">
        <v>48.4</v>
      </c>
      <c r="AG489" s="2" t="n">
        <v>88.8</v>
      </c>
      <c r="AH489" s="2" t="n">
        <v>3.2</v>
      </c>
      <c r="AI489" s="2" t="n">
        <v>56.1</v>
      </c>
      <c r="AJ489" s="2" t="n">
        <v>0.7</v>
      </c>
      <c r="AK489" s="2" t="n">
        <v>53.3</v>
      </c>
      <c r="AL489" s="2" t="n">
        <v>1</v>
      </c>
      <c r="AM489" s="2" t="n">
        <v>1.6</v>
      </c>
      <c r="AN489" s="2" t="n">
        <v>8.1</v>
      </c>
      <c r="AO489" s="2" t="n">
        <v>1.8</v>
      </c>
      <c r="AP489" s="2" t="n">
        <v>1.5</v>
      </c>
      <c r="AQ489" s="2" t="n">
        <v>4.3</v>
      </c>
      <c r="AR489" s="2" t="n">
        <v>0.5</v>
      </c>
      <c r="AS489" s="2" t="n">
        <v>6.5</v>
      </c>
      <c r="AT489" s="2" t="n">
        <v>0.1</v>
      </c>
      <c r="AU489" s="2" t="n">
        <v>2.9</v>
      </c>
      <c r="AV489" s="2" t="n">
        <v>2.6</v>
      </c>
      <c r="AW489" s="2" t="n">
        <v>2</v>
      </c>
      <c r="AX489" s="2"/>
      <c r="AY489" s="2"/>
      <c r="AZ489" s="2"/>
      <c r="BA489" s="2"/>
      <c r="BB489" s="2"/>
      <c r="BC489" s="2"/>
      <c r="BD489" s="4" t="s">
        <v>1759</v>
      </c>
    </row>
    <row r="490" customFormat="false" ht="15" hidden="false" customHeight="false" outlineLevel="0" collapsed="false">
      <c r="A490" s="2" t="n">
        <v>1611869</v>
      </c>
      <c r="B490" s="2" t="s">
        <v>1760</v>
      </c>
      <c r="C490" s="2" t="s">
        <v>1733</v>
      </c>
      <c r="D490" s="2" t="s">
        <v>341</v>
      </c>
      <c r="E490" s="2" t="s">
        <v>59</v>
      </c>
      <c r="F490" s="2" t="s">
        <v>70</v>
      </c>
      <c r="G490" s="2" t="s">
        <v>75</v>
      </c>
      <c r="H490" s="2" t="s">
        <v>75</v>
      </c>
      <c r="I490" s="2" t="n">
        <v>24</v>
      </c>
      <c r="J490" s="2" t="n">
        <v>20</v>
      </c>
      <c r="K490" s="2" t="s">
        <v>1761</v>
      </c>
      <c r="L490" s="2" t="s">
        <v>346</v>
      </c>
      <c r="M490" s="2" t="n">
        <v>186</v>
      </c>
      <c r="N490" s="3" t="n">
        <v>413752</v>
      </c>
      <c r="O490" s="2"/>
      <c r="P490" s="2" t="n">
        <v>21</v>
      </c>
      <c r="Q490" s="3" t="n">
        <v>1026</v>
      </c>
      <c r="R490" s="2" t="n">
        <v>6.49</v>
      </c>
      <c r="S490" s="2" t="n">
        <v>0</v>
      </c>
      <c r="T490" s="2" t="n">
        <v>1</v>
      </c>
      <c r="U490" s="2" t="n">
        <v>0</v>
      </c>
      <c r="V490" s="2"/>
      <c r="W490" s="2"/>
      <c r="X490" s="2" t="n">
        <v>0.09</v>
      </c>
      <c r="Y490" s="2" t="n">
        <v>1</v>
      </c>
      <c r="Z490" s="2" t="n">
        <v>0.1</v>
      </c>
      <c r="AA490" s="2" t="n">
        <v>9.1</v>
      </c>
      <c r="AB490" s="2" t="n">
        <v>1</v>
      </c>
      <c r="AC490" s="2" t="n">
        <v>3</v>
      </c>
      <c r="AD490" s="2" t="n">
        <v>0.3</v>
      </c>
      <c r="AE490" s="2"/>
      <c r="AF490" s="2" t="n">
        <v>41.1</v>
      </c>
      <c r="AG490" s="2" t="n">
        <v>85.4</v>
      </c>
      <c r="AH490" s="2" t="n">
        <v>4.9</v>
      </c>
      <c r="AI490" s="2" t="n">
        <v>53.3</v>
      </c>
      <c r="AJ490" s="2" t="n">
        <v>0.4</v>
      </c>
      <c r="AK490" s="2" t="n">
        <v>80</v>
      </c>
      <c r="AL490" s="2"/>
      <c r="AM490" s="2"/>
      <c r="AN490" s="2" t="n">
        <v>5.4</v>
      </c>
      <c r="AO490" s="2" t="n">
        <v>0.7</v>
      </c>
      <c r="AP490" s="2" t="n">
        <v>1.1</v>
      </c>
      <c r="AQ490" s="2" t="n">
        <v>2.9</v>
      </c>
      <c r="AR490" s="2" t="n">
        <v>0.6</v>
      </c>
      <c r="AS490" s="2" t="n">
        <v>2.7</v>
      </c>
      <c r="AT490" s="2"/>
      <c r="AU490" s="2"/>
      <c r="AV490" s="2" t="n">
        <v>1</v>
      </c>
      <c r="AW490" s="2" t="n">
        <v>5</v>
      </c>
      <c r="AX490" s="2"/>
      <c r="AY490" s="2" t="n">
        <v>1</v>
      </c>
      <c r="AZ490" s="2"/>
      <c r="BA490" s="2"/>
      <c r="BB490" s="2"/>
      <c r="BC490" s="2"/>
      <c r="BD490" s="4" t="s">
        <v>1762</v>
      </c>
    </row>
    <row r="491" customFormat="false" ht="15" hidden="false" customHeight="false" outlineLevel="0" collapsed="false">
      <c r="A491" s="2" t="n">
        <v>335412</v>
      </c>
      <c r="B491" s="2" t="s">
        <v>1763</v>
      </c>
      <c r="C491" s="2" t="s">
        <v>1733</v>
      </c>
      <c r="D491" s="2" t="s">
        <v>341</v>
      </c>
      <c r="E491" s="2" t="s">
        <v>59</v>
      </c>
      <c r="F491" s="2" t="s">
        <v>70</v>
      </c>
      <c r="G491" s="2" t="s">
        <v>75</v>
      </c>
      <c r="H491" s="2" t="s">
        <v>75</v>
      </c>
      <c r="I491" s="2" t="n">
        <v>5</v>
      </c>
      <c r="J491" s="2" t="n">
        <v>36</v>
      </c>
      <c r="K491" s="2" t="s">
        <v>1764</v>
      </c>
      <c r="L491" s="2" t="s">
        <v>1000</v>
      </c>
      <c r="M491" s="2" t="n">
        <v>187</v>
      </c>
      <c r="N491" s="3" t="n">
        <v>50000</v>
      </c>
      <c r="O491" s="2"/>
      <c r="P491" s="2" t="n">
        <v>10</v>
      </c>
      <c r="Q491" s="3" t="n">
        <v>534</v>
      </c>
      <c r="R491" s="2"/>
      <c r="S491" s="2"/>
      <c r="T491" s="2" t="n">
        <v>1</v>
      </c>
      <c r="U491" s="2" t="n">
        <v>0</v>
      </c>
      <c r="V491" s="2"/>
      <c r="W491" s="2"/>
      <c r="X491" s="2"/>
      <c r="Y491" s="2"/>
      <c r="Z491" s="2"/>
      <c r="AA491" s="2"/>
      <c r="AB491" s="2"/>
      <c r="AC491" s="2" t="n">
        <v>1</v>
      </c>
      <c r="AD491" s="2" t="n">
        <v>0.2</v>
      </c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 t="n">
        <v>2</v>
      </c>
      <c r="AX491" s="2"/>
      <c r="AY491" s="2"/>
      <c r="AZ491" s="2"/>
      <c r="BA491" s="2"/>
      <c r="BB491" s="2"/>
      <c r="BC491" s="2"/>
      <c r="BD491" s="4" t="s">
        <v>1765</v>
      </c>
    </row>
    <row r="492" customFormat="false" ht="15" hidden="false" customHeight="false" outlineLevel="0" collapsed="false">
      <c r="A492" s="2" t="n">
        <v>1025951</v>
      </c>
      <c r="B492" s="2" t="s">
        <v>1766</v>
      </c>
      <c r="C492" s="2" t="s">
        <v>1733</v>
      </c>
      <c r="D492" s="2" t="s">
        <v>341</v>
      </c>
      <c r="E492" s="2" t="s">
        <v>59</v>
      </c>
      <c r="F492" s="2" t="s">
        <v>70</v>
      </c>
      <c r="G492" s="2" t="s">
        <v>133</v>
      </c>
      <c r="H492" s="2" t="s">
        <v>133</v>
      </c>
      <c r="I492" s="2" t="n">
        <v>48</v>
      </c>
      <c r="J492" s="2" t="n">
        <v>29</v>
      </c>
      <c r="K492" s="2" t="s">
        <v>1767</v>
      </c>
      <c r="L492" s="2" t="s">
        <v>67</v>
      </c>
      <c r="M492" s="2" t="n">
        <v>180</v>
      </c>
      <c r="N492" s="3" t="n">
        <v>103680</v>
      </c>
      <c r="O492" s="2"/>
      <c r="P492" s="2" t="n">
        <v>7</v>
      </c>
      <c r="Q492" s="3" t="n">
        <v>236</v>
      </c>
      <c r="R492" s="2"/>
      <c r="S492" s="2"/>
      <c r="T492" s="2"/>
      <c r="U492" s="2"/>
      <c r="V492" s="2" t="n">
        <v>2</v>
      </c>
      <c r="W492" s="2"/>
      <c r="X492" s="2"/>
      <c r="Y492" s="2"/>
      <c r="Z492" s="2"/>
      <c r="AA492" s="2"/>
      <c r="AB492" s="2"/>
      <c r="AC492" s="2" t="n">
        <v>5</v>
      </c>
      <c r="AD492" s="2" t="n">
        <v>1.9</v>
      </c>
      <c r="AE492" s="2" t="n">
        <v>1</v>
      </c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 t="n">
        <v>1</v>
      </c>
      <c r="AX492" s="2"/>
      <c r="AY492" s="2"/>
      <c r="AZ492" s="2"/>
      <c r="BA492" s="2"/>
      <c r="BB492" s="2"/>
      <c r="BC492" s="2"/>
      <c r="BD492" s="4" t="s">
        <v>1768</v>
      </c>
    </row>
    <row r="493" customFormat="false" ht="15" hidden="false" customHeight="false" outlineLevel="0" collapsed="false">
      <c r="A493" s="2" t="n">
        <v>1927872</v>
      </c>
      <c r="B493" s="2" t="s">
        <v>1769</v>
      </c>
      <c r="C493" s="2" t="s">
        <v>1733</v>
      </c>
      <c r="D493" s="2" t="s">
        <v>341</v>
      </c>
      <c r="E493" s="2" t="s">
        <v>59</v>
      </c>
      <c r="F493" s="2" t="s">
        <v>70</v>
      </c>
      <c r="G493" s="2" t="s">
        <v>92</v>
      </c>
      <c r="H493" s="2" t="s">
        <v>1770</v>
      </c>
      <c r="I493" s="2" t="n">
        <v>91</v>
      </c>
      <c r="J493" s="2" t="n">
        <v>18</v>
      </c>
      <c r="K493" s="2" t="s">
        <v>1771</v>
      </c>
      <c r="L493" s="2" t="s">
        <v>67</v>
      </c>
      <c r="M493" s="2" t="n">
        <v>175</v>
      </c>
      <c r="N493" s="3"/>
      <c r="O493" s="2"/>
      <c r="P493" s="2" t="n">
        <v>6</v>
      </c>
      <c r="Q493" s="3" t="n">
        <v>212</v>
      </c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 t="n">
        <v>2</v>
      </c>
      <c r="AD493" s="2" t="n">
        <v>0.8</v>
      </c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 t="n">
        <v>2</v>
      </c>
      <c r="AX493" s="2"/>
      <c r="AY493" s="2"/>
      <c r="AZ493" s="2"/>
      <c r="BA493" s="2"/>
      <c r="BB493" s="2"/>
      <c r="BC493" s="2"/>
      <c r="BD493" s="4" t="s">
        <v>1772</v>
      </c>
    </row>
    <row r="494" customFormat="false" ht="15" hidden="false" customHeight="false" outlineLevel="0" collapsed="false">
      <c r="A494" s="2" t="n">
        <v>1933245</v>
      </c>
      <c r="B494" s="2" t="s">
        <v>1773</v>
      </c>
      <c r="C494" s="2" t="s">
        <v>1733</v>
      </c>
      <c r="D494" s="2" t="s">
        <v>341</v>
      </c>
      <c r="E494" s="2" t="s">
        <v>59</v>
      </c>
      <c r="F494" s="2" t="s">
        <v>70</v>
      </c>
      <c r="G494" s="2" t="s">
        <v>92</v>
      </c>
      <c r="H494" s="2" t="s">
        <v>92</v>
      </c>
      <c r="I494" s="2" t="n">
        <v>33</v>
      </c>
      <c r="J494" s="2" t="n">
        <v>18</v>
      </c>
      <c r="K494" s="2" t="s">
        <v>1774</v>
      </c>
      <c r="L494" s="2" t="s">
        <v>67</v>
      </c>
      <c r="M494" s="2" t="n">
        <v>178</v>
      </c>
      <c r="N494" s="3"/>
      <c r="O494" s="2"/>
      <c r="P494" s="2" t="n">
        <v>1</v>
      </c>
      <c r="Q494" s="3" t="n">
        <v>1</v>
      </c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4" t="s">
        <v>1775</v>
      </c>
    </row>
    <row r="495" customFormat="false" ht="15" hidden="false" customHeight="false" outlineLevel="0" collapsed="false">
      <c r="A495" s="2" t="n">
        <v>1975689</v>
      </c>
      <c r="B495" s="2" t="s">
        <v>1776</v>
      </c>
      <c r="C495" s="2" t="s">
        <v>1733</v>
      </c>
      <c r="D495" s="2" t="s">
        <v>341</v>
      </c>
      <c r="E495" s="2" t="s">
        <v>59</v>
      </c>
      <c r="F495" s="2" t="s">
        <v>70</v>
      </c>
      <c r="G495" s="2" t="s">
        <v>71</v>
      </c>
      <c r="H495" s="2" t="s">
        <v>71</v>
      </c>
      <c r="I495" s="2" t="n">
        <v>47</v>
      </c>
      <c r="J495" s="2" t="n">
        <v>17</v>
      </c>
      <c r="K495" s="2" t="s">
        <v>1777</v>
      </c>
      <c r="L495" s="2" t="s">
        <v>67</v>
      </c>
      <c r="M495" s="2" t="n">
        <v>180</v>
      </c>
      <c r="N495" s="3"/>
      <c r="O495" s="2"/>
      <c r="P495" s="2" t="n">
        <v>1</v>
      </c>
      <c r="Q495" s="3" t="n">
        <v>1</v>
      </c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4" t="s">
        <v>1778</v>
      </c>
    </row>
    <row r="496" customFormat="false" ht="15" hidden="false" customHeight="false" outlineLevel="0" collapsed="false">
      <c r="A496" s="2" t="n">
        <v>1732593</v>
      </c>
      <c r="B496" s="2" t="s">
        <v>1779</v>
      </c>
      <c r="C496" s="2" t="s">
        <v>1733</v>
      </c>
      <c r="D496" s="2" t="s">
        <v>341</v>
      </c>
      <c r="E496" s="2" t="s">
        <v>59</v>
      </c>
      <c r="F496" s="2" t="s">
        <v>70</v>
      </c>
      <c r="G496" s="2" t="s">
        <v>92</v>
      </c>
      <c r="H496" s="2" t="s">
        <v>92</v>
      </c>
      <c r="I496" s="2" t="n">
        <v>88</v>
      </c>
      <c r="J496" s="2" t="n">
        <v>19</v>
      </c>
      <c r="K496" s="2" t="s">
        <v>1780</v>
      </c>
      <c r="L496" s="2" t="s">
        <v>67</v>
      </c>
      <c r="M496" s="2" t="n">
        <v>180</v>
      </c>
      <c r="N496" s="3"/>
      <c r="O496" s="2"/>
      <c r="P496" s="2"/>
      <c r="Q496" s="3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4" t="s">
        <v>1781</v>
      </c>
    </row>
    <row r="497" customFormat="false" ht="15" hidden="false" customHeight="false" outlineLevel="0" collapsed="false">
      <c r="A497" s="2" t="n">
        <v>1178826</v>
      </c>
      <c r="B497" s="2" t="s">
        <v>1782</v>
      </c>
      <c r="C497" s="2" t="s">
        <v>1733</v>
      </c>
      <c r="D497" s="2" t="s">
        <v>341</v>
      </c>
      <c r="E497" s="2" t="s">
        <v>59</v>
      </c>
      <c r="F497" s="2" t="s">
        <v>102</v>
      </c>
      <c r="G497" s="2" t="s">
        <v>75</v>
      </c>
      <c r="H497" s="2" t="s">
        <v>1783</v>
      </c>
      <c r="I497" s="2" t="n">
        <v>17</v>
      </c>
      <c r="J497" s="2" t="n">
        <v>28</v>
      </c>
      <c r="K497" s="2" t="s">
        <v>1784</v>
      </c>
      <c r="L497" s="2" t="s">
        <v>67</v>
      </c>
      <c r="M497" s="2" t="n">
        <v>183</v>
      </c>
      <c r="N497" s="3" t="n">
        <v>101132</v>
      </c>
      <c r="O497" s="2"/>
      <c r="P497" s="2" t="n">
        <v>26</v>
      </c>
      <c r="Q497" s="3" t="n">
        <v>2340</v>
      </c>
      <c r="R497" s="2" t="n">
        <v>6.95</v>
      </c>
      <c r="S497" s="2" t="n">
        <v>1</v>
      </c>
      <c r="T497" s="2" t="n">
        <v>3</v>
      </c>
      <c r="U497" s="2" t="n">
        <v>1</v>
      </c>
      <c r="V497" s="2" t="n">
        <v>2</v>
      </c>
      <c r="W497" s="2"/>
      <c r="X497" s="2" t="n">
        <v>0.12</v>
      </c>
      <c r="Y497" s="2" t="n">
        <v>0.7</v>
      </c>
      <c r="Z497" s="2" t="n">
        <v>0.3</v>
      </c>
      <c r="AA497" s="2" t="n">
        <v>17.7</v>
      </c>
      <c r="AB497" s="2" t="n">
        <v>4</v>
      </c>
      <c r="AC497" s="2" t="n">
        <v>10</v>
      </c>
      <c r="AD497" s="2" t="n">
        <v>0.4</v>
      </c>
      <c r="AE497" s="2" t="n">
        <v>2</v>
      </c>
      <c r="AF497" s="2" t="n">
        <v>38.6</v>
      </c>
      <c r="AG497" s="2" t="n">
        <v>84.1</v>
      </c>
      <c r="AH497" s="2" t="n">
        <v>2.9</v>
      </c>
      <c r="AI497" s="2" t="n">
        <v>51.4</v>
      </c>
      <c r="AJ497" s="2" t="n">
        <v>0.2</v>
      </c>
      <c r="AK497" s="2" t="n">
        <v>54.5</v>
      </c>
      <c r="AL497" s="2"/>
      <c r="AM497" s="2"/>
      <c r="AN497" s="2" t="n">
        <v>6.4</v>
      </c>
      <c r="AO497" s="2" t="n">
        <v>1.5</v>
      </c>
      <c r="AP497" s="2" t="n">
        <v>0.8</v>
      </c>
      <c r="AQ497" s="2" t="n">
        <v>3.6</v>
      </c>
      <c r="AR497" s="2" t="n">
        <v>0.5</v>
      </c>
      <c r="AS497" s="2" t="n">
        <v>2.9</v>
      </c>
      <c r="AT497" s="2" t="n">
        <v>0.2</v>
      </c>
      <c r="AU497" s="2" t="n">
        <v>1.5</v>
      </c>
      <c r="AV497" s="2" t="n">
        <v>1.3</v>
      </c>
      <c r="AW497" s="2" t="n">
        <v>6</v>
      </c>
      <c r="AX497" s="2"/>
      <c r="AY497" s="2"/>
      <c r="AZ497" s="2"/>
      <c r="BA497" s="2"/>
      <c r="BB497" s="2"/>
      <c r="BC497" s="2"/>
      <c r="BD497" s="4" t="s">
        <v>1785</v>
      </c>
    </row>
    <row r="498" customFormat="false" ht="15" hidden="false" customHeight="false" outlineLevel="0" collapsed="false">
      <c r="A498" s="2" t="n">
        <v>1583143</v>
      </c>
      <c r="B498" s="2" t="s">
        <v>1786</v>
      </c>
      <c r="C498" s="2" t="s">
        <v>1733</v>
      </c>
      <c r="D498" s="2" t="s">
        <v>341</v>
      </c>
      <c r="E498" s="2" t="s">
        <v>59</v>
      </c>
      <c r="F498" s="2" t="s">
        <v>102</v>
      </c>
      <c r="G498" s="2" t="s">
        <v>103</v>
      </c>
      <c r="H498" s="2" t="s">
        <v>123</v>
      </c>
      <c r="I498" s="2" t="n">
        <v>13</v>
      </c>
      <c r="J498" s="2" t="n">
        <v>21</v>
      </c>
      <c r="K498" s="2" t="s">
        <v>1787</v>
      </c>
      <c r="L498" s="2" t="s">
        <v>529</v>
      </c>
      <c r="M498" s="2" t="n">
        <v>183</v>
      </c>
      <c r="N498" s="3" t="n">
        <v>140577</v>
      </c>
      <c r="O498" s="2"/>
      <c r="P498" s="2" t="n">
        <v>26</v>
      </c>
      <c r="Q498" s="3" t="n">
        <v>2167</v>
      </c>
      <c r="R498" s="2" t="n">
        <v>6.89</v>
      </c>
      <c r="S498" s="2" t="n">
        <v>0</v>
      </c>
      <c r="T498" s="2"/>
      <c r="U498" s="2"/>
      <c r="V498" s="2" t="n">
        <v>2</v>
      </c>
      <c r="W498" s="2"/>
      <c r="X498" s="2"/>
      <c r="Y498" s="2" t="n">
        <v>1</v>
      </c>
      <c r="Z498" s="2" t="n">
        <v>0.2</v>
      </c>
      <c r="AA498" s="2" t="n">
        <v>0</v>
      </c>
      <c r="AB498" s="2"/>
      <c r="AC498" s="2" t="n">
        <v>13</v>
      </c>
      <c r="AD498" s="2" t="n">
        <v>0.5</v>
      </c>
      <c r="AE498" s="2" t="n">
        <v>2</v>
      </c>
      <c r="AF498" s="2" t="n">
        <v>35.3</v>
      </c>
      <c r="AG498" s="2" t="n">
        <v>81.7</v>
      </c>
      <c r="AH498" s="2" t="n">
        <v>2.1</v>
      </c>
      <c r="AI498" s="2" t="n">
        <v>47.2</v>
      </c>
      <c r="AJ498" s="2" t="n">
        <v>0.5</v>
      </c>
      <c r="AK498" s="2" t="n">
        <v>70.6</v>
      </c>
      <c r="AL498" s="2"/>
      <c r="AM498" s="2"/>
      <c r="AN498" s="2" t="n">
        <v>3.6</v>
      </c>
      <c r="AO498" s="2" t="n">
        <v>1.7</v>
      </c>
      <c r="AP498" s="2" t="n">
        <v>0.7</v>
      </c>
      <c r="AQ498" s="2" t="n">
        <v>1</v>
      </c>
      <c r="AR498" s="2" t="n">
        <v>0.2</v>
      </c>
      <c r="AS498" s="2" t="n">
        <v>5.3</v>
      </c>
      <c r="AT498" s="2" t="n">
        <v>0.1</v>
      </c>
      <c r="AU498" s="2" t="n">
        <v>3.2</v>
      </c>
      <c r="AV498" s="2" t="n">
        <v>1.5</v>
      </c>
      <c r="AW498" s="2" t="n">
        <v>8</v>
      </c>
      <c r="AX498" s="2"/>
      <c r="AY498" s="2"/>
      <c r="AZ498" s="2"/>
      <c r="BA498" s="2"/>
      <c r="BB498" s="2"/>
      <c r="BC498" s="2"/>
      <c r="BD498" s="4" t="s">
        <v>1788</v>
      </c>
    </row>
    <row r="499" customFormat="false" ht="15" hidden="false" customHeight="false" outlineLevel="0" collapsed="false">
      <c r="A499" s="2" t="n">
        <v>1327189</v>
      </c>
      <c r="B499" s="2" t="s">
        <v>1789</v>
      </c>
      <c r="C499" s="2" t="s">
        <v>1733</v>
      </c>
      <c r="D499" s="2" t="s">
        <v>341</v>
      </c>
      <c r="E499" s="2" t="s">
        <v>59</v>
      </c>
      <c r="F499" s="2" t="s">
        <v>102</v>
      </c>
      <c r="G499" s="2" t="s">
        <v>113</v>
      </c>
      <c r="H499" s="2" t="s">
        <v>1790</v>
      </c>
      <c r="I499" s="2" t="n">
        <v>8</v>
      </c>
      <c r="J499" s="2" t="n">
        <v>23</v>
      </c>
      <c r="K499" s="2" t="s">
        <v>1791</v>
      </c>
      <c r="L499" s="2" t="s">
        <v>346</v>
      </c>
      <c r="M499" s="2" t="n">
        <v>170</v>
      </c>
      <c r="N499" s="3"/>
      <c r="O499" s="2"/>
      <c r="P499" s="2" t="n">
        <v>25</v>
      </c>
      <c r="Q499" s="3" t="n">
        <v>1894</v>
      </c>
      <c r="R499" s="2" t="n">
        <v>6.94</v>
      </c>
      <c r="S499" s="2" t="n">
        <v>2</v>
      </c>
      <c r="T499" s="2" t="n">
        <v>2</v>
      </c>
      <c r="U499" s="2" t="n">
        <v>0</v>
      </c>
      <c r="V499" s="2" t="n">
        <v>4</v>
      </c>
      <c r="W499" s="2"/>
      <c r="X499" s="2" t="n">
        <v>0.1</v>
      </c>
      <c r="Y499" s="2" t="n">
        <v>0.9</v>
      </c>
      <c r="Z499" s="2" t="n">
        <v>0.2</v>
      </c>
      <c r="AA499" s="2" t="n">
        <v>11.1</v>
      </c>
      <c r="AB499" s="2" t="n">
        <v>1</v>
      </c>
      <c r="AC499" s="2" t="n">
        <v>32</v>
      </c>
      <c r="AD499" s="2" t="n">
        <v>1.5</v>
      </c>
      <c r="AE499" s="2" t="n">
        <v>5</v>
      </c>
      <c r="AF499" s="2" t="n">
        <v>31</v>
      </c>
      <c r="AG499" s="2" t="n">
        <v>86.6</v>
      </c>
      <c r="AH499" s="2" t="n">
        <v>2.4</v>
      </c>
      <c r="AI499" s="2" t="n">
        <v>65.8</v>
      </c>
      <c r="AJ499" s="2" t="n">
        <v>0.5</v>
      </c>
      <c r="AK499" s="2" t="n">
        <v>40.7</v>
      </c>
      <c r="AL499" s="2"/>
      <c r="AM499" s="2"/>
      <c r="AN499" s="2" t="n">
        <v>2.3</v>
      </c>
      <c r="AO499" s="2" t="n">
        <v>1</v>
      </c>
      <c r="AP499" s="2" t="n">
        <v>0.8</v>
      </c>
      <c r="AQ499" s="2" t="n">
        <v>0.5</v>
      </c>
      <c r="AR499" s="2" t="n">
        <v>0.1</v>
      </c>
      <c r="AS499" s="2" t="n">
        <v>2.9</v>
      </c>
      <c r="AT499" s="2" t="n">
        <v>0.3</v>
      </c>
      <c r="AU499" s="2" t="n">
        <v>1.6</v>
      </c>
      <c r="AV499" s="2" t="n">
        <v>1.7</v>
      </c>
      <c r="AW499" s="2" t="n">
        <v>2</v>
      </c>
      <c r="AX499" s="2"/>
      <c r="AY499" s="2"/>
      <c r="AZ499" s="2"/>
      <c r="BA499" s="2"/>
      <c r="BB499" s="2"/>
      <c r="BC499" s="2"/>
      <c r="BD499" s="4" t="s">
        <v>1792</v>
      </c>
    </row>
    <row r="500" customFormat="false" ht="15" hidden="false" customHeight="false" outlineLevel="0" collapsed="false">
      <c r="A500" s="2" t="n">
        <v>1433071</v>
      </c>
      <c r="B500" s="2" t="s">
        <v>1793</v>
      </c>
      <c r="C500" s="2" t="s">
        <v>1733</v>
      </c>
      <c r="D500" s="2" t="s">
        <v>341</v>
      </c>
      <c r="E500" s="2" t="s">
        <v>59</v>
      </c>
      <c r="F500" s="2" t="s">
        <v>102</v>
      </c>
      <c r="G500" s="2" t="s">
        <v>113</v>
      </c>
      <c r="H500" s="2" t="s">
        <v>1794</v>
      </c>
      <c r="I500" s="2" t="n">
        <v>70</v>
      </c>
      <c r="J500" s="2" t="n">
        <v>25</v>
      </c>
      <c r="K500" s="2" t="s">
        <v>1795</v>
      </c>
      <c r="L500" s="2" t="s">
        <v>337</v>
      </c>
      <c r="M500" s="2" t="n">
        <v>173</v>
      </c>
      <c r="N500" s="3" t="n">
        <v>167984</v>
      </c>
      <c r="O500" s="2"/>
      <c r="P500" s="2" t="n">
        <v>5</v>
      </c>
      <c r="Q500" s="3" t="n">
        <v>374</v>
      </c>
      <c r="R500" s="2"/>
      <c r="S500" s="2"/>
      <c r="T500" s="2"/>
      <c r="U500" s="2"/>
      <c r="V500" s="2" t="n">
        <v>1</v>
      </c>
      <c r="W500" s="2"/>
      <c r="X500" s="2"/>
      <c r="Y500" s="2"/>
      <c r="Z500" s="2"/>
      <c r="AA500" s="2"/>
      <c r="AB500" s="2" t="n">
        <v>1</v>
      </c>
      <c r="AC500" s="2" t="n">
        <v>6</v>
      </c>
      <c r="AD500" s="2" t="n">
        <v>1.4</v>
      </c>
      <c r="AE500" s="2" t="n">
        <v>2</v>
      </c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 t="n">
        <v>1</v>
      </c>
      <c r="AX500" s="2"/>
      <c r="AY500" s="2"/>
      <c r="AZ500" s="2"/>
      <c r="BA500" s="2"/>
      <c r="BB500" s="2"/>
      <c r="BC500" s="2"/>
      <c r="BD500" s="4" t="s">
        <v>1796</v>
      </c>
    </row>
    <row r="501" customFormat="false" ht="15" hidden="false" customHeight="false" outlineLevel="0" collapsed="false">
      <c r="A501" s="2" t="n">
        <v>1921660</v>
      </c>
      <c r="B501" s="2" t="s">
        <v>1797</v>
      </c>
      <c r="C501" s="2" t="s">
        <v>1733</v>
      </c>
      <c r="D501" s="2" t="s">
        <v>341</v>
      </c>
      <c r="E501" s="2" t="s">
        <v>59</v>
      </c>
      <c r="F501" s="2" t="s">
        <v>102</v>
      </c>
      <c r="G501" s="2" t="s">
        <v>113</v>
      </c>
      <c r="H501" s="2" t="s">
        <v>113</v>
      </c>
      <c r="I501" s="2" t="n">
        <v>68</v>
      </c>
      <c r="J501" s="2" t="n">
        <v>15</v>
      </c>
      <c r="K501" s="2" t="s">
        <v>1798</v>
      </c>
      <c r="L501" s="2" t="s">
        <v>67</v>
      </c>
      <c r="M501" s="2" t="n">
        <v>188</v>
      </c>
      <c r="N501" s="3"/>
      <c r="O501" s="2"/>
      <c r="P501" s="2" t="n">
        <v>5</v>
      </c>
      <c r="Q501" s="3" t="n">
        <v>70</v>
      </c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 t="n">
        <v>2</v>
      </c>
      <c r="AD501" s="2" t="n">
        <v>2.6</v>
      </c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 t="n">
        <v>2</v>
      </c>
      <c r="AX501" s="2"/>
      <c r="AY501" s="2"/>
      <c r="AZ501" s="2"/>
      <c r="BA501" s="2"/>
      <c r="BB501" s="2"/>
      <c r="BC501" s="2"/>
      <c r="BD501" s="4" t="s">
        <v>1799</v>
      </c>
    </row>
    <row r="502" customFormat="false" ht="15" hidden="false" customHeight="false" outlineLevel="0" collapsed="false">
      <c r="A502" s="2" t="n">
        <v>756429</v>
      </c>
      <c r="B502" s="2" t="s">
        <v>1800</v>
      </c>
      <c r="C502" s="2" t="s">
        <v>1733</v>
      </c>
      <c r="D502" s="2" t="s">
        <v>341</v>
      </c>
      <c r="E502" s="2" t="s">
        <v>59</v>
      </c>
      <c r="F502" s="2" t="s">
        <v>137</v>
      </c>
      <c r="G502" s="2" t="s">
        <v>147</v>
      </c>
      <c r="H502" s="2" t="s">
        <v>329</v>
      </c>
      <c r="I502" s="2" t="n">
        <v>7</v>
      </c>
      <c r="J502" s="2" t="n">
        <v>29</v>
      </c>
      <c r="K502" s="2" t="s">
        <v>1801</v>
      </c>
      <c r="L502" s="2" t="s">
        <v>243</v>
      </c>
      <c r="M502" s="2" t="n">
        <v>183</v>
      </c>
      <c r="N502" s="3" t="n">
        <v>50000</v>
      </c>
      <c r="O502" s="2"/>
      <c r="P502" s="2" t="n">
        <v>24</v>
      </c>
      <c r="Q502" s="3" t="n">
        <v>1952</v>
      </c>
      <c r="R502" s="2" t="n">
        <v>7.31</v>
      </c>
      <c r="S502" s="2" t="n">
        <v>4</v>
      </c>
      <c r="T502" s="2" t="n">
        <v>12</v>
      </c>
      <c r="U502" s="2" t="n">
        <v>5</v>
      </c>
      <c r="V502" s="2" t="n">
        <v>4</v>
      </c>
      <c r="W502" s="2"/>
      <c r="X502" s="2" t="n">
        <v>0.55</v>
      </c>
      <c r="Y502" s="2" t="n">
        <v>3.2</v>
      </c>
      <c r="Z502" s="2" t="n">
        <v>1.5</v>
      </c>
      <c r="AA502" s="2" t="n">
        <v>17.4</v>
      </c>
      <c r="AB502" s="2" t="n">
        <v>9</v>
      </c>
      <c r="AC502" s="2" t="n">
        <v>48</v>
      </c>
      <c r="AD502" s="2" t="n">
        <v>2.2</v>
      </c>
      <c r="AE502" s="2" t="n">
        <v>8</v>
      </c>
      <c r="AF502" s="2" t="n">
        <v>11.9</v>
      </c>
      <c r="AG502" s="2" t="n">
        <v>75.1</v>
      </c>
      <c r="AH502" s="2" t="n">
        <v>0.7</v>
      </c>
      <c r="AI502" s="2" t="n">
        <v>66.7</v>
      </c>
      <c r="AJ502" s="2" t="n">
        <v>1.1</v>
      </c>
      <c r="AK502" s="2" t="n">
        <v>44.2</v>
      </c>
      <c r="AL502" s="2" t="n">
        <v>2</v>
      </c>
      <c r="AM502" s="2" t="n">
        <v>1.7</v>
      </c>
      <c r="AN502" s="2" t="n">
        <v>0.7</v>
      </c>
      <c r="AO502" s="2" t="n">
        <v>0.3</v>
      </c>
      <c r="AP502" s="2" t="n">
        <v>0.1</v>
      </c>
      <c r="AQ502" s="2" t="n">
        <v>0.2</v>
      </c>
      <c r="AR502" s="2" t="n">
        <v>0</v>
      </c>
      <c r="AS502" s="2" t="n">
        <v>1.7</v>
      </c>
      <c r="AT502" s="2" t="n">
        <v>0.7</v>
      </c>
      <c r="AU502" s="2" t="n">
        <v>0.8</v>
      </c>
      <c r="AV502" s="2" t="n">
        <v>1</v>
      </c>
      <c r="AW502" s="2" t="n">
        <v>4</v>
      </c>
      <c r="AX502" s="2"/>
      <c r="AY502" s="2"/>
      <c r="AZ502" s="2"/>
      <c r="BA502" s="2"/>
      <c r="BB502" s="2"/>
      <c r="BC502" s="2"/>
      <c r="BD502" s="4" t="s">
        <v>1802</v>
      </c>
    </row>
    <row r="503" customFormat="false" ht="15" hidden="false" customHeight="false" outlineLevel="0" collapsed="false">
      <c r="A503" s="2" t="n">
        <v>1346891</v>
      </c>
      <c r="B503" s="2" t="s">
        <v>1803</v>
      </c>
      <c r="C503" s="2" t="s">
        <v>1733</v>
      </c>
      <c r="D503" s="2" t="s">
        <v>341</v>
      </c>
      <c r="E503" s="2" t="s">
        <v>59</v>
      </c>
      <c r="F503" s="2" t="s">
        <v>137</v>
      </c>
      <c r="G503" s="2" t="s">
        <v>138</v>
      </c>
      <c r="H503" s="2" t="s">
        <v>1804</v>
      </c>
      <c r="I503" s="2" t="n">
        <v>10</v>
      </c>
      <c r="J503" s="2" t="n">
        <v>23</v>
      </c>
      <c r="K503" s="2" t="s">
        <v>1805</v>
      </c>
      <c r="L503" s="2" t="s">
        <v>105</v>
      </c>
      <c r="M503" s="2" t="n">
        <v>168</v>
      </c>
      <c r="N503" s="3" t="n">
        <v>68062</v>
      </c>
      <c r="O503" s="2"/>
      <c r="P503" s="2" t="n">
        <v>14</v>
      </c>
      <c r="Q503" s="3" t="n">
        <v>1113</v>
      </c>
      <c r="R503" s="2" t="n">
        <v>6.65</v>
      </c>
      <c r="S503" s="2" t="n">
        <v>0</v>
      </c>
      <c r="T503" s="2"/>
      <c r="U503" s="2"/>
      <c r="V503" s="2" t="n">
        <v>1</v>
      </c>
      <c r="W503" s="2"/>
      <c r="X503" s="2"/>
      <c r="Y503" s="2" t="n">
        <v>1</v>
      </c>
      <c r="Z503" s="2" t="n">
        <v>0.4</v>
      </c>
      <c r="AA503" s="2" t="n">
        <v>0</v>
      </c>
      <c r="AB503" s="2" t="n">
        <v>1</v>
      </c>
      <c r="AC503" s="2" t="n">
        <v>16</v>
      </c>
      <c r="AD503" s="2" t="n">
        <v>1.3</v>
      </c>
      <c r="AE503" s="2" t="n">
        <v>2</v>
      </c>
      <c r="AF503" s="2" t="n">
        <v>29.2</v>
      </c>
      <c r="AG503" s="2" t="n">
        <v>80.2</v>
      </c>
      <c r="AH503" s="2" t="n">
        <v>0.9</v>
      </c>
      <c r="AI503" s="2" t="n">
        <v>36.7</v>
      </c>
      <c r="AJ503" s="2" t="n">
        <v>0.3</v>
      </c>
      <c r="AK503" s="2" t="n">
        <v>26.7</v>
      </c>
      <c r="AL503" s="2"/>
      <c r="AM503" s="2"/>
      <c r="AN503" s="2" t="n">
        <v>1.5</v>
      </c>
      <c r="AO503" s="2" t="n">
        <v>1.1</v>
      </c>
      <c r="AP503" s="2" t="n">
        <v>0.4</v>
      </c>
      <c r="AQ503" s="2" t="n">
        <v>0.1</v>
      </c>
      <c r="AR503" s="2"/>
      <c r="AS503" s="2" t="n">
        <v>3.2</v>
      </c>
      <c r="AT503" s="2" t="n">
        <v>0.4</v>
      </c>
      <c r="AU503" s="2" t="n">
        <v>1.9</v>
      </c>
      <c r="AV503" s="2" t="n">
        <v>1.7</v>
      </c>
      <c r="AW503" s="2" t="n">
        <v>2</v>
      </c>
      <c r="AX503" s="2"/>
      <c r="AY503" s="2"/>
      <c r="AZ503" s="2"/>
      <c r="BA503" s="2"/>
      <c r="BB503" s="2"/>
      <c r="BC503" s="2"/>
      <c r="BD503" s="4" t="s">
        <v>1806</v>
      </c>
    </row>
    <row r="504" customFormat="false" ht="15" hidden="false" customHeight="false" outlineLevel="0" collapsed="false">
      <c r="A504" s="2" t="n">
        <v>621537</v>
      </c>
      <c r="B504" s="2" t="s">
        <v>1807</v>
      </c>
      <c r="C504" s="2" t="s">
        <v>1733</v>
      </c>
      <c r="D504" s="2" t="s">
        <v>341</v>
      </c>
      <c r="E504" s="2" t="s">
        <v>59</v>
      </c>
      <c r="F504" s="2" t="s">
        <v>137</v>
      </c>
      <c r="G504" s="2" t="s">
        <v>147</v>
      </c>
      <c r="H504" s="2" t="s">
        <v>147</v>
      </c>
      <c r="I504" s="2" t="n">
        <v>23</v>
      </c>
      <c r="J504" s="2" t="n">
        <v>33</v>
      </c>
      <c r="K504" s="2" t="s">
        <v>1808</v>
      </c>
      <c r="L504" s="2" t="s">
        <v>89</v>
      </c>
      <c r="M504" s="2" t="n">
        <v>183</v>
      </c>
      <c r="N504" s="3" t="n">
        <v>50000</v>
      </c>
      <c r="O504" s="2"/>
      <c r="P504" s="2" t="n">
        <v>15</v>
      </c>
      <c r="Q504" s="3" t="n">
        <v>911</v>
      </c>
      <c r="R504" s="2" t="n">
        <v>6.59</v>
      </c>
      <c r="S504" s="2" t="n">
        <v>1</v>
      </c>
      <c r="T504" s="2" t="n">
        <v>3</v>
      </c>
      <c r="U504" s="2" t="n">
        <v>0</v>
      </c>
      <c r="V504" s="2"/>
      <c r="W504" s="2"/>
      <c r="X504" s="2" t="n">
        <v>0.3</v>
      </c>
      <c r="Y504" s="2" t="n">
        <v>1.8</v>
      </c>
      <c r="Z504" s="2" t="n">
        <v>0.7</v>
      </c>
      <c r="AA504" s="2" t="n">
        <v>16.7</v>
      </c>
      <c r="AB504" s="2" t="n">
        <v>3</v>
      </c>
      <c r="AC504" s="2" t="n">
        <v>9</v>
      </c>
      <c r="AD504" s="2" t="n">
        <v>0.9</v>
      </c>
      <c r="AE504" s="2" t="n">
        <v>2</v>
      </c>
      <c r="AF504" s="2" t="n">
        <v>10.3</v>
      </c>
      <c r="AG504" s="2" t="n">
        <v>71.7</v>
      </c>
      <c r="AH504" s="2" t="n">
        <v>0.2</v>
      </c>
      <c r="AI504" s="2" t="n">
        <v>100</v>
      </c>
      <c r="AJ504" s="2" t="n">
        <v>0.1</v>
      </c>
      <c r="AK504" s="2" t="n">
        <v>25</v>
      </c>
      <c r="AL504" s="2"/>
      <c r="AM504" s="2"/>
      <c r="AN504" s="2" t="n">
        <v>0.6</v>
      </c>
      <c r="AO504" s="2" t="n">
        <v>0.1</v>
      </c>
      <c r="AP504" s="2"/>
      <c r="AQ504" s="2" t="n">
        <v>0.5</v>
      </c>
      <c r="AR504" s="2"/>
      <c r="AS504" s="2" t="n">
        <v>1.1</v>
      </c>
      <c r="AT504" s="2" t="n">
        <v>0.3</v>
      </c>
      <c r="AU504" s="2" t="n">
        <v>0.6</v>
      </c>
      <c r="AV504" s="2" t="n">
        <v>1.7</v>
      </c>
      <c r="AW504" s="2" t="n">
        <v>2</v>
      </c>
      <c r="AX504" s="2"/>
      <c r="AY504" s="2"/>
      <c r="AZ504" s="2"/>
      <c r="BA504" s="2"/>
      <c r="BB504" s="2"/>
      <c r="BC504" s="2"/>
      <c r="BD504" s="4" t="s">
        <v>1809</v>
      </c>
    </row>
    <row r="505" customFormat="false" ht="15" hidden="false" customHeight="false" outlineLevel="0" collapsed="false">
      <c r="A505" s="2" t="n">
        <v>1240740</v>
      </c>
      <c r="B505" s="2" t="s">
        <v>1810</v>
      </c>
      <c r="C505" s="2" t="s">
        <v>1733</v>
      </c>
      <c r="D505" s="2" t="s">
        <v>341</v>
      </c>
      <c r="E505" s="2" t="s">
        <v>59</v>
      </c>
      <c r="F505" s="2" t="s">
        <v>137</v>
      </c>
      <c r="G505" s="2" t="s">
        <v>147</v>
      </c>
      <c r="H505" s="2" t="s">
        <v>147</v>
      </c>
      <c r="I505" s="2" t="n">
        <v>11</v>
      </c>
      <c r="J505" s="2" t="n">
        <v>24</v>
      </c>
      <c r="K505" s="2" t="s">
        <v>1811</v>
      </c>
      <c r="L505" s="2" t="s">
        <v>1812</v>
      </c>
      <c r="M505" s="2" t="n">
        <v>191</v>
      </c>
      <c r="N505" s="3" t="n">
        <v>166241</v>
      </c>
      <c r="O505" s="2"/>
      <c r="P505" s="2" t="n">
        <v>24</v>
      </c>
      <c r="Q505" s="3" t="n">
        <v>736</v>
      </c>
      <c r="R505" s="2" t="n">
        <v>6.26</v>
      </c>
      <c r="S505" s="2" t="n">
        <v>0</v>
      </c>
      <c r="T505" s="2" t="n">
        <v>4</v>
      </c>
      <c r="U505" s="2" t="n">
        <v>0</v>
      </c>
      <c r="V505" s="2" t="n">
        <v>1</v>
      </c>
      <c r="W505" s="2"/>
      <c r="X505" s="2" t="n">
        <v>0.49</v>
      </c>
      <c r="Y505" s="2" t="n">
        <v>2.8</v>
      </c>
      <c r="Z505" s="2" t="n">
        <v>1</v>
      </c>
      <c r="AA505" s="2" t="n">
        <v>17.4</v>
      </c>
      <c r="AB505" s="2" t="n">
        <v>8</v>
      </c>
      <c r="AC505" s="2" t="n">
        <v>6</v>
      </c>
      <c r="AD505" s="2" t="n">
        <v>0.7</v>
      </c>
      <c r="AE505" s="2" t="n">
        <v>2</v>
      </c>
      <c r="AF505" s="2" t="n">
        <v>7.7</v>
      </c>
      <c r="AG505" s="2" t="n">
        <v>62.4</v>
      </c>
      <c r="AH505" s="2" t="n">
        <v>0.2</v>
      </c>
      <c r="AI505" s="2" t="n">
        <v>100</v>
      </c>
      <c r="AJ505" s="2" t="n">
        <v>0.5</v>
      </c>
      <c r="AK505" s="2" t="n">
        <v>25</v>
      </c>
      <c r="AL505" s="2" t="n">
        <v>1</v>
      </c>
      <c r="AM505" s="2" t="n">
        <v>0.5</v>
      </c>
      <c r="AN505" s="2" t="n">
        <v>0.5</v>
      </c>
      <c r="AO505" s="2" t="n">
        <v>0.2</v>
      </c>
      <c r="AP505" s="2" t="n">
        <v>0.1</v>
      </c>
      <c r="AQ505" s="2" t="n">
        <v>0.1</v>
      </c>
      <c r="AR505" s="2"/>
      <c r="AS505" s="2" t="n">
        <v>1.5</v>
      </c>
      <c r="AT505" s="2" t="n">
        <v>0.6</v>
      </c>
      <c r="AU505" s="2" t="n">
        <v>0.9</v>
      </c>
      <c r="AV505" s="2" t="n">
        <v>5</v>
      </c>
      <c r="AW505" s="2" t="n">
        <v>4</v>
      </c>
      <c r="AX505" s="2"/>
      <c r="AY505" s="2"/>
      <c r="AZ505" s="2"/>
      <c r="BA505" s="2"/>
      <c r="BB505" s="2"/>
      <c r="BC505" s="2"/>
      <c r="BD505" s="4" t="s">
        <v>1813</v>
      </c>
    </row>
    <row r="506" customFormat="false" ht="15" hidden="false" customHeight="false" outlineLevel="0" collapsed="false">
      <c r="A506" s="2" t="n">
        <v>1136412</v>
      </c>
      <c r="B506" s="2" t="s">
        <v>1814</v>
      </c>
      <c r="C506" s="2" t="s">
        <v>1733</v>
      </c>
      <c r="D506" s="2" t="s">
        <v>341</v>
      </c>
      <c r="E506" s="2" t="s">
        <v>59</v>
      </c>
      <c r="F506" s="2" t="s">
        <v>137</v>
      </c>
      <c r="G506" s="2" t="s">
        <v>138</v>
      </c>
      <c r="H506" s="2" t="s">
        <v>138</v>
      </c>
      <c r="I506" s="2" t="n">
        <v>19</v>
      </c>
      <c r="J506" s="2" t="n">
        <v>23</v>
      </c>
      <c r="K506" s="2" t="s">
        <v>1815</v>
      </c>
      <c r="L506" s="2" t="s">
        <v>617</v>
      </c>
      <c r="M506" s="2" t="n">
        <v>178</v>
      </c>
      <c r="N506" s="3" t="n">
        <v>75016</v>
      </c>
      <c r="O506" s="2"/>
      <c r="P506" s="2" t="n">
        <v>11</v>
      </c>
      <c r="Q506" s="3" t="n">
        <v>350</v>
      </c>
      <c r="R506" s="2"/>
      <c r="S506" s="2"/>
      <c r="T506" s="2"/>
      <c r="U506" s="2"/>
      <c r="V506" s="2" t="n">
        <v>1</v>
      </c>
      <c r="W506" s="2"/>
      <c r="X506" s="2"/>
      <c r="Y506" s="2"/>
      <c r="Z506" s="2"/>
      <c r="AA506" s="2"/>
      <c r="AB506" s="2" t="n">
        <v>1</v>
      </c>
      <c r="AC506" s="2" t="n">
        <v>8</v>
      </c>
      <c r="AD506" s="2" t="n">
        <v>2.1</v>
      </c>
      <c r="AE506" s="2" t="n">
        <v>1</v>
      </c>
      <c r="AF506" s="2"/>
      <c r="AG506" s="2"/>
      <c r="AH506" s="2"/>
      <c r="AI506" s="2"/>
      <c r="AJ506" s="2"/>
      <c r="AK506" s="2"/>
      <c r="AL506" s="2" t="n">
        <v>1</v>
      </c>
      <c r="AM506" s="2" t="n">
        <v>1.8</v>
      </c>
      <c r="AN506" s="2"/>
      <c r="AO506" s="2"/>
      <c r="AP506" s="2"/>
      <c r="AQ506" s="2"/>
      <c r="AR506" s="2"/>
      <c r="AS506" s="2"/>
      <c r="AT506" s="2"/>
      <c r="AU506" s="2"/>
      <c r="AV506" s="2"/>
      <c r="AW506" s="2" t="n">
        <v>1</v>
      </c>
      <c r="AX506" s="2"/>
      <c r="AY506" s="2"/>
      <c r="AZ506" s="2"/>
      <c r="BA506" s="2"/>
      <c r="BB506" s="2"/>
      <c r="BC506" s="2"/>
      <c r="BD506" s="4" t="s">
        <v>1816</v>
      </c>
    </row>
    <row r="507" customFormat="false" ht="15" hidden="false" customHeight="false" outlineLevel="0" collapsed="false">
      <c r="A507" s="2" t="n">
        <v>794855</v>
      </c>
      <c r="B507" s="2" t="s">
        <v>1817</v>
      </c>
      <c r="C507" s="2" t="s">
        <v>1733</v>
      </c>
      <c r="D507" s="2" t="s">
        <v>341</v>
      </c>
      <c r="E507" s="2" t="s">
        <v>59</v>
      </c>
      <c r="F507" s="2" t="s">
        <v>137</v>
      </c>
      <c r="G507" s="2" t="s">
        <v>147</v>
      </c>
      <c r="H507" s="2" t="s">
        <v>147</v>
      </c>
      <c r="I507" s="2" t="n">
        <v>28</v>
      </c>
      <c r="J507" s="2" t="n">
        <v>27</v>
      </c>
      <c r="K507" s="2" t="s">
        <v>1818</v>
      </c>
      <c r="L507" s="2" t="s">
        <v>1819</v>
      </c>
      <c r="M507" s="2" t="n">
        <v>170</v>
      </c>
      <c r="N507" s="3" t="n">
        <v>50000</v>
      </c>
      <c r="O507" s="2"/>
      <c r="P507" s="2" t="n">
        <v>8</v>
      </c>
      <c r="Q507" s="3" t="n">
        <v>212</v>
      </c>
      <c r="R507" s="2"/>
      <c r="S507" s="2"/>
      <c r="T507" s="2" t="n">
        <v>2</v>
      </c>
      <c r="U507" s="2" t="n">
        <v>0</v>
      </c>
      <c r="V507" s="2"/>
      <c r="W507" s="2"/>
      <c r="X507" s="2"/>
      <c r="Y507" s="2"/>
      <c r="Z507" s="2"/>
      <c r="AA507" s="2"/>
      <c r="AB507" s="2" t="n">
        <v>3</v>
      </c>
      <c r="AC507" s="2" t="n">
        <v>2</v>
      </c>
      <c r="AD507" s="2" t="n">
        <v>0.8</v>
      </c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4" t="s">
        <v>1820</v>
      </c>
    </row>
    <row r="508" customFormat="false" ht="15" hidden="false" customHeight="false" outlineLevel="0" collapsed="false">
      <c r="A508" s="2" t="n">
        <v>2090275</v>
      </c>
      <c r="B508" s="2" t="s">
        <v>1821</v>
      </c>
      <c r="C508" s="2" t="s">
        <v>1733</v>
      </c>
      <c r="D508" s="2" t="s">
        <v>341</v>
      </c>
      <c r="E508" s="2" t="s">
        <v>59</v>
      </c>
      <c r="F508" s="2" t="s">
        <v>137</v>
      </c>
      <c r="G508" s="2" t="s">
        <v>147</v>
      </c>
      <c r="H508" s="2" t="s">
        <v>147</v>
      </c>
      <c r="I508" s="2" t="n">
        <v>27</v>
      </c>
      <c r="J508" s="2" t="n">
        <v>19</v>
      </c>
      <c r="K508" s="2" t="s">
        <v>1822</v>
      </c>
      <c r="L508" s="2" t="s">
        <v>110</v>
      </c>
      <c r="M508" s="2" t="n">
        <v>178</v>
      </c>
      <c r="N508" s="3"/>
      <c r="O508" s="2"/>
      <c r="P508" s="2" t="n">
        <v>5</v>
      </c>
      <c r="Q508" s="3" t="n">
        <v>150</v>
      </c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 t="n">
        <v>2</v>
      </c>
      <c r="AD508" s="2" t="n">
        <v>1.2</v>
      </c>
      <c r="AE508" s="2" t="n">
        <v>1</v>
      </c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4" t="s">
        <v>1823</v>
      </c>
    </row>
    <row r="509" customFormat="false" ht="15" hidden="false" customHeight="false" outlineLevel="0" collapsed="false">
      <c r="A509" s="2" t="n">
        <v>1780761</v>
      </c>
      <c r="B509" s="2" t="s">
        <v>1824</v>
      </c>
      <c r="C509" s="2" t="s">
        <v>1733</v>
      </c>
      <c r="D509" s="2" t="s">
        <v>341</v>
      </c>
      <c r="E509" s="2" t="s">
        <v>59</v>
      </c>
      <c r="F509" s="2" t="s">
        <v>137</v>
      </c>
      <c r="G509" s="2" t="s">
        <v>404</v>
      </c>
      <c r="H509" s="2" t="s">
        <v>404</v>
      </c>
      <c r="I509" s="2" t="n">
        <v>45</v>
      </c>
      <c r="J509" s="2" t="n">
        <v>16</v>
      </c>
      <c r="K509" s="2" t="s">
        <v>1825</v>
      </c>
      <c r="L509" s="2" t="s">
        <v>67</v>
      </c>
      <c r="M509" s="2" t="n">
        <v>180</v>
      </c>
      <c r="N509" s="3"/>
      <c r="O509" s="2"/>
      <c r="P509" s="2" t="n">
        <v>4</v>
      </c>
      <c r="Q509" s="3" t="n">
        <v>79</v>
      </c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4" t="s">
        <v>1826</v>
      </c>
    </row>
    <row r="510" customFormat="false" ht="15" hidden="false" customHeight="false" outlineLevel="0" collapsed="false">
      <c r="A510" s="2" t="n">
        <v>1732592</v>
      </c>
      <c r="B510" s="2" t="s">
        <v>1827</v>
      </c>
      <c r="C510" s="2" t="s">
        <v>1733</v>
      </c>
      <c r="D510" s="2" t="s">
        <v>341</v>
      </c>
      <c r="E510" s="2" t="s">
        <v>59</v>
      </c>
      <c r="F510" s="2" t="s">
        <v>137</v>
      </c>
      <c r="G510" s="2" t="s">
        <v>133</v>
      </c>
      <c r="H510" s="2" t="s">
        <v>133</v>
      </c>
      <c r="I510" s="2" t="n">
        <v>38</v>
      </c>
      <c r="J510" s="2" t="n">
        <v>17</v>
      </c>
      <c r="K510" s="2" t="s">
        <v>1828</v>
      </c>
      <c r="L510" s="2" t="s">
        <v>67</v>
      </c>
      <c r="M510" s="2" t="n">
        <v>183</v>
      </c>
      <c r="N510" s="3"/>
      <c r="O510" s="2"/>
      <c r="P510" s="2" t="n">
        <v>1</v>
      </c>
      <c r="Q510" s="3" t="n">
        <v>5</v>
      </c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4" t="s">
        <v>1829</v>
      </c>
    </row>
    <row r="511" customFormat="false" ht="15" hidden="false" customHeight="false" outlineLevel="0" collapsed="false">
      <c r="A511" s="2" t="n">
        <v>1751994</v>
      </c>
      <c r="B511" s="2" t="s">
        <v>1830</v>
      </c>
      <c r="C511" s="2" t="s">
        <v>1733</v>
      </c>
      <c r="D511" s="2" t="s">
        <v>341</v>
      </c>
      <c r="E511" s="2" t="s">
        <v>59</v>
      </c>
      <c r="F511" s="2" t="s">
        <v>137</v>
      </c>
      <c r="G511" s="2" t="s">
        <v>133</v>
      </c>
      <c r="H511" s="2" t="s">
        <v>133</v>
      </c>
      <c r="I511" s="2" t="n">
        <v>80</v>
      </c>
      <c r="J511" s="2" t="n">
        <v>17</v>
      </c>
      <c r="K511" s="2" t="s">
        <v>1831</v>
      </c>
      <c r="L511" s="2" t="s">
        <v>67</v>
      </c>
      <c r="M511" s="2" t="n">
        <v>168</v>
      </c>
      <c r="N511" s="3"/>
      <c r="O511" s="2"/>
      <c r="P511" s="2"/>
      <c r="Q511" s="3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4" t="s">
        <v>1832</v>
      </c>
    </row>
    <row r="512" customFormat="false" ht="15" hidden="false" customHeight="false" outlineLevel="0" collapsed="false">
      <c r="A512" s="2" t="n">
        <v>1348321</v>
      </c>
      <c r="B512" s="2" t="s">
        <v>1833</v>
      </c>
      <c r="C512" s="2" t="s">
        <v>1834</v>
      </c>
      <c r="D512" s="2" t="s">
        <v>58</v>
      </c>
      <c r="E512" s="2" t="s">
        <v>59</v>
      </c>
      <c r="F512" s="2" t="s">
        <v>60</v>
      </c>
      <c r="G512" s="2" t="s">
        <v>61</v>
      </c>
      <c r="H512" s="2" t="s">
        <v>61</v>
      </c>
      <c r="I512" s="2" t="n">
        <v>1</v>
      </c>
      <c r="J512" s="2" t="n">
        <v>28</v>
      </c>
      <c r="K512" s="2" t="s">
        <v>1835</v>
      </c>
      <c r="L512" s="2" t="s">
        <v>319</v>
      </c>
      <c r="M512" s="2" t="n">
        <v>188</v>
      </c>
      <c r="N512" s="3" t="n">
        <v>60000</v>
      </c>
      <c r="O512" s="2"/>
      <c r="P512" s="2" t="n">
        <v>26</v>
      </c>
      <c r="Q512" s="3" t="n">
        <v>2340</v>
      </c>
      <c r="R512" s="2" t="n">
        <v>6.92</v>
      </c>
      <c r="S512" s="2" t="n">
        <v>3</v>
      </c>
      <c r="T512" s="2"/>
      <c r="U512" s="2"/>
      <c r="V512" s="2"/>
      <c r="W512" s="2"/>
      <c r="X512" s="2"/>
      <c r="Y512" s="2"/>
      <c r="Z512" s="2"/>
      <c r="AA512" s="2"/>
      <c r="AB512" s="2"/>
      <c r="AC512" s="2" t="n">
        <v>1</v>
      </c>
      <c r="AD512" s="2" t="n">
        <v>0</v>
      </c>
      <c r="AE512" s="2"/>
      <c r="AF512" s="2" t="n">
        <v>9.1</v>
      </c>
      <c r="AG512" s="2" t="n">
        <v>39.9</v>
      </c>
      <c r="AH512" s="2"/>
      <c r="AI512" s="2"/>
      <c r="AJ512" s="2"/>
      <c r="AK512" s="2"/>
      <c r="AL512" s="2"/>
      <c r="AM512" s="2"/>
      <c r="AN512" s="2" t="n">
        <v>1.9</v>
      </c>
      <c r="AO512" s="2"/>
      <c r="AP512" s="2"/>
      <c r="AQ512" s="2" t="n">
        <v>1.9</v>
      </c>
      <c r="AR512" s="2"/>
      <c r="AS512" s="2" t="n">
        <v>9.2</v>
      </c>
      <c r="AT512" s="2"/>
      <c r="AU512" s="2"/>
      <c r="AV512" s="2"/>
      <c r="AW512" s="2" t="n">
        <v>1</v>
      </c>
      <c r="AX512" s="2"/>
      <c r="AY512" s="2"/>
      <c r="AZ512" s="2" t="n">
        <v>9</v>
      </c>
      <c r="BA512" s="2" t="n">
        <v>2.3</v>
      </c>
      <c r="BB512" s="2" t="n">
        <v>70.2</v>
      </c>
      <c r="BC512" s="2" t="n">
        <v>1</v>
      </c>
      <c r="BD512" s="4" t="s">
        <v>1836</v>
      </c>
    </row>
    <row r="513" customFormat="false" ht="15" hidden="false" customHeight="false" outlineLevel="0" collapsed="false">
      <c r="A513" s="2" t="n">
        <v>1780451</v>
      </c>
      <c r="B513" s="2" t="s">
        <v>1837</v>
      </c>
      <c r="C513" s="2" t="s">
        <v>1834</v>
      </c>
      <c r="D513" s="2" t="s">
        <v>58</v>
      </c>
      <c r="E513" s="2" t="s">
        <v>59</v>
      </c>
      <c r="F513" s="2" t="s">
        <v>60</v>
      </c>
      <c r="G513" s="2" t="s">
        <v>61</v>
      </c>
      <c r="H513" s="2" t="s">
        <v>61</v>
      </c>
      <c r="I513" s="2" t="n">
        <v>24</v>
      </c>
      <c r="J513" s="2" t="n">
        <v>25</v>
      </c>
      <c r="K513" s="2" t="s">
        <v>1838</v>
      </c>
      <c r="L513" s="2" t="s">
        <v>67</v>
      </c>
      <c r="M513" s="2" t="n">
        <v>183</v>
      </c>
      <c r="N513" s="3"/>
      <c r="O513" s="2"/>
      <c r="P513" s="2" t="n">
        <v>1</v>
      </c>
      <c r="Q513" s="3" t="n">
        <v>90</v>
      </c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4" t="s">
        <v>1839</v>
      </c>
    </row>
    <row r="514" customFormat="false" ht="15" hidden="false" customHeight="false" outlineLevel="0" collapsed="false">
      <c r="A514" s="2" t="n">
        <v>1171004</v>
      </c>
      <c r="B514" s="2" t="s">
        <v>1840</v>
      </c>
      <c r="C514" s="2" t="s">
        <v>1834</v>
      </c>
      <c r="D514" s="2" t="s">
        <v>58</v>
      </c>
      <c r="E514" s="2" t="s">
        <v>59</v>
      </c>
      <c r="F514" s="2" t="s">
        <v>60</v>
      </c>
      <c r="G514" s="2" t="s">
        <v>61</v>
      </c>
      <c r="H514" s="2" t="s">
        <v>61</v>
      </c>
      <c r="I514" s="2" t="n">
        <v>20</v>
      </c>
      <c r="J514" s="2" t="n">
        <v>23</v>
      </c>
      <c r="K514" s="2" t="s">
        <v>1841</v>
      </c>
      <c r="L514" s="2" t="s">
        <v>67</v>
      </c>
      <c r="M514" s="2" t="n">
        <v>191</v>
      </c>
      <c r="N514" s="3"/>
      <c r="O514" s="2"/>
      <c r="P514" s="2"/>
      <c r="Q514" s="3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4" t="s">
        <v>1842</v>
      </c>
    </row>
    <row r="515" customFormat="false" ht="15" hidden="false" customHeight="false" outlineLevel="0" collapsed="false">
      <c r="A515" s="2" t="n">
        <v>1500406</v>
      </c>
      <c r="B515" s="2" t="s">
        <v>1843</v>
      </c>
      <c r="C515" s="2" t="s">
        <v>1834</v>
      </c>
      <c r="D515" s="2" t="s">
        <v>58</v>
      </c>
      <c r="E515" s="2" t="s">
        <v>59</v>
      </c>
      <c r="F515" s="2" t="s">
        <v>70</v>
      </c>
      <c r="G515" s="2" t="s">
        <v>75</v>
      </c>
      <c r="H515" s="2" t="s">
        <v>75</v>
      </c>
      <c r="I515" s="2" t="n">
        <v>5</v>
      </c>
      <c r="J515" s="2" t="n">
        <v>25</v>
      </c>
      <c r="K515" s="2" t="s">
        <v>1844</v>
      </c>
      <c r="L515" s="2" t="s">
        <v>67</v>
      </c>
      <c r="M515" s="2" t="n">
        <v>188</v>
      </c>
      <c r="N515" s="3"/>
      <c r="O515" s="2"/>
      <c r="P515" s="2" t="n">
        <v>26</v>
      </c>
      <c r="Q515" s="3" t="n">
        <v>2213</v>
      </c>
      <c r="R515" s="2" t="n">
        <v>6.91</v>
      </c>
      <c r="S515" s="2" t="n">
        <v>0</v>
      </c>
      <c r="T515" s="2" t="n">
        <v>1</v>
      </c>
      <c r="U515" s="2" t="n">
        <v>0</v>
      </c>
      <c r="V515" s="2"/>
      <c r="W515" s="2"/>
      <c r="X515" s="2" t="n">
        <v>0.04</v>
      </c>
      <c r="Y515" s="2" t="n">
        <v>0.3</v>
      </c>
      <c r="Z515" s="2" t="n">
        <v>0.1</v>
      </c>
      <c r="AA515" s="2" t="n">
        <v>12.5</v>
      </c>
      <c r="AB515" s="2" t="n">
        <v>1</v>
      </c>
      <c r="AC515" s="2" t="n">
        <v>6</v>
      </c>
      <c r="AD515" s="2" t="n">
        <v>0.2</v>
      </c>
      <c r="AE515" s="2" t="n">
        <v>2</v>
      </c>
      <c r="AF515" s="2" t="n">
        <v>39.7</v>
      </c>
      <c r="AG515" s="2" t="n">
        <v>82</v>
      </c>
      <c r="AH515" s="2" t="n">
        <v>2.4</v>
      </c>
      <c r="AI515" s="2" t="n">
        <v>36</v>
      </c>
      <c r="AJ515" s="2" t="n">
        <v>0.1</v>
      </c>
      <c r="AK515" s="2" t="n">
        <v>50</v>
      </c>
      <c r="AL515" s="2"/>
      <c r="AM515" s="2"/>
      <c r="AN515" s="2" t="n">
        <v>8.7</v>
      </c>
      <c r="AO515" s="2" t="n">
        <v>1.6</v>
      </c>
      <c r="AP515" s="2" t="n">
        <v>0.6</v>
      </c>
      <c r="AQ515" s="2" t="n">
        <v>5.7</v>
      </c>
      <c r="AR515" s="2" t="n">
        <v>0.9</v>
      </c>
      <c r="AS515" s="2" t="n">
        <v>3.2</v>
      </c>
      <c r="AT515" s="2" t="n">
        <v>0</v>
      </c>
      <c r="AU515" s="2" t="n">
        <v>1.1</v>
      </c>
      <c r="AV515" s="2" t="n">
        <v>1.3</v>
      </c>
      <c r="AW515" s="2" t="n">
        <v>5</v>
      </c>
      <c r="AX515" s="2"/>
      <c r="AY515" s="2" t="n">
        <v>1</v>
      </c>
      <c r="AZ515" s="2"/>
      <c r="BA515" s="2"/>
      <c r="BB515" s="2"/>
      <c r="BC515" s="2"/>
      <c r="BD515" s="4" t="s">
        <v>1845</v>
      </c>
    </row>
    <row r="516" customFormat="false" ht="15" hidden="false" customHeight="false" outlineLevel="0" collapsed="false">
      <c r="A516" s="2" t="n">
        <v>1919812</v>
      </c>
      <c r="B516" s="2" t="s">
        <v>1846</v>
      </c>
      <c r="C516" s="2" t="s">
        <v>1834</v>
      </c>
      <c r="D516" s="2" t="s">
        <v>58</v>
      </c>
      <c r="E516" s="2" t="s">
        <v>59</v>
      </c>
      <c r="F516" s="2" t="s">
        <v>70</v>
      </c>
      <c r="G516" s="2" t="s">
        <v>75</v>
      </c>
      <c r="H516" s="2" t="s">
        <v>75</v>
      </c>
      <c r="I516" s="2" t="n">
        <v>6</v>
      </c>
      <c r="J516" s="2" t="n">
        <v>24</v>
      </c>
      <c r="K516" s="2" t="s">
        <v>1847</v>
      </c>
      <c r="L516" s="2" t="s">
        <v>67</v>
      </c>
      <c r="M516" s="2" t="n">
        <v>196</v>
      </c>
      <c r="N516" s="3"/>
      <c r="O516" s="2"/>
      <c r="P516" s="2" t="n">
        <v>24</v>
      </c>
      <c r="Q516" s="3" t="n">
        <v>2160</v>
      </c>
      <c r="R516" s="2" t="n">
        <v>7.04</v>
      </c>
      <c r="S516" s="2" t="n">
        <v>1</v>
      </c>
      <c r="T516" s="2"/>
      <c r="U516" s="2"/>
      <c r="V516" s="2"/>
      <c r="W516" s="2"/>
      <c r="X516" s="2"/>
      <c r="Y516" s="2" t="n">
        <v>0.3</v>
      </c>
      <c r="Z516" s="2"/>
      <c r="AA516" s="2" t="n">
        <v>0</v>
      </c>
      <c r="AB516" s="2" t="n">
        <v>1</v>
      </c>
      <c r="AC516" s="2" t="n">
        <v>6</v>
      </c>
      <c r="AD516" s="2" t="n">
        <v>0.3</v>
      </c>
      <c r="AE516" s="2" t="n">
        <v>1</v>
      </c>
      <c r="AF516" s="2" t="n">
        <v>29.2</v>
      </c>
      <c r="AG516" s="2" t="n">
        <v>79.9</v>
      </c>
      <c r="AH516" s="2" t="n">
        <v>1.7</v>
      </c>
      <c r="AI516" s="2" t="n">
        <v>31.1</v>
      </c>
      <c r="AJ516" s="2" t="n">
        <v>0.1</v>
      </c>
      <c r="AK516" s="2" t="n">
        <v>100</v>
      </c>
      <c r="AL516" s="2"/>
      <c r="AM516" s="2"/>
      <c r="AN516" s="2" t="n">
        <v>9.3</v>
      </c>
      <c r="AO516" s="2" t="n">
        <v>1.2</v>
      </c>
      <c r="AP516" s="2" t="n">
        <v>1.3</v>
      </c>
      <c r="AQ516" s="2" t="n">
        <v>6</v>
      </c>
      <c r="AR516" s="2" t="n">
        <v>0.7</v>
      </c>
      <c r="AS516" s="2" t="n">
        <v>3.1</v>
      </c>
      <c r="AT516" s="2"/>
      <c r="AU516" s="2"/>
      <c r="AV516" s="2" t="n">
        <v>0.8</v>
      </c>
      <c r="AW516" s="2" t="n">
        <v>5</v>
      </c>
      <c r="AX516" s="2"/>
      <c r="AY516" s="2"/>
      <c r="AZ516" s="2"/>
      <c r="BA516" s="2"/>
      <c r="BB516" s="2"/>
      <c r="BC516" s="2"/>
      <c r="BD516" s="4" t="s">
        <v>1848</v>
      </c>
    </row>
    <row r="517" customFormat="false" ht="15" hidden="false" customHeight="false" outlineLevel="0" collapsed="false">
      <c r="A517" s="2" t="n">
        <v>1724749</v>
      </c>
      <c r="B517" s="2" t="s">
        <v>1849</v>
      </c>
      <c r="C517" s="2" t="s">
        <v>1834</v>
      </c>
      <c r="D517" s="2" t="s">
        <v>58</v>
      </c>
      <c r="E517" s="2" t="s">
        <v>59</v>
      </c>
      <c r="F517" s="2" t="s">
        <v>70</v>
      </c>
      <c r="G517" s="2" t="s">
        <v>92</v>
      </c>
      <c r="H517" s="2" t="s">
        <v>276</v>
      </c>
      <c r="I517" s="2" t="n">
        <v>3</v>
      </c>
      <c r="J517" s="2" t="n">
        <v>25</v>
      </c>
      <c r="K517" s="2" t="s">
        <v>1850</v>
      </c>
      <c r="L517" s="2" t="s">
        <v>67</v>
      </c>
      <c r="M517" s="2" t="n">
        <v>180</v>
      </c>
      <c r="N517" s="3" t="n">
        <v>100659</v>
      </c>
      <c r="O517" s="2"/>
      <c r="P517" s="2" t="n">
        <v>23</v>
      </c>
      <c r="Q517" s="3" t="n">
        <v>1688</v>
      </c>
      <c r="R517" s="2" t="n">
        <v>6.95</v>
      </c>
      <c r="S517" s="2" t="n">
        <v>0</v>
      </c>
      <c r="T517" s="2"/>
      <c r="U517" s="2"/>
      <c r="V517" s="2" t="n">
        <v>4</v>
      </c>
      <c r="W517" s="2"/>
      <c r="X517" s="2"/>
      <c r="Y517" s="2" t="n">
        <v>0.1</v>
      </c>
      <c r="Z517" s="2" t="n">
        <v>0.1</v>
      </c>
      <c r="AA517" s="2" t="n">
        <v>0</v>
      </c>
      <c r="AB517" s="2" t="n">
        <v>1</v>
      </c>
      <c r="AC517" s="2" t="n">
        <v>8</v>
      </c>
      <c r="AD517" s="2" t="n">
        <v>0.4</v>
      </c>
      <c r="AE517" s="2" t="n">
        <v>5</v>
      </c>
      <c r="AF517" s="2" t="n">
        <v>26.9</v>
      </c>
      <c r="AG517" s="2" t="n">
        <v>78.2</v>
      </c>
      <c r="AH517" s="2" t="n">
        <v>1.3</v>
      </c>
      <c r="AI517" s="2" t="n">
        <v>35.2</v>
      </c>
      <c r="AJ517" s="2" t="n">
        <v>0.3</v>
      </c>
      <c r="AK517" s="2" t="n">
        <v>42.9</v>
      </c>
      <c r="AL517" s="2" t="n">
        <v>1</v>
      </c>
      <c r="AM517" s="2" t="n">
        <v>1.3</v>
      </c>
      <c r="AN517" s="2" t="n">
        <v>6.8</v>
      </c>
      <c r="AO517" s="2" t="n">
        <v>1.7</v>
      </c>
      <c r="AP517" s="2" t="n">
        <v>1.7</v>
      </c>
      <c r="AQ517" s="2" t="n">
        <v>3.2</v>
      </c>
      <c r="AR517" s="2" t="n">
        <v>0.3</v>
      </c>
      <c r="AS517" s="2" t="n">
        <v>3</v>
      </c>
      <c r="AT517" s="2" t="n">
        <v>0.1</v>
      </c>
      <c r="AU517" s="2" t="n">
        <v>1.4</v>
      </c>
      <c r="AV517" s="2" t="n">
        <v>0.4</v>
      </c>
      <c r="AW517" s="2" t="n">
        <v>1</v>
      </c>
      <c r="AX517" s="2"/>
      <c r="AY517" s="2"/>
      <c r="AZ517" s="2"/>
      <c r="BA517" s="2"/>
      <c r="BB517" s="2"/>
      <c r="BC517" s="2"/>
      <c r="BD517" s="4" t="s">
        <v>1851</v>
      </c>
    </row>
    <row r="518" customFormat="false" ht="15" hidden="false" customHeight="false" outlineLevel="0" collapsed="false">
      <c r="A518" s="2" t="n">
        <v>1919811</v>
      </c>
      <c r="B518" s="2" t="s">
        <v>1852</v>
      </c>
      <c r="C518" s="2" t="s">
        <v>1834</v>
      </c>
      <c r="D518" s="2" t="s">
        <v>58</v>
      </c>
      <c r="E518" s="2" t="s">
        <v>59</v>
      </c>
      <c r="F518" s="2" t="s">
        <v>70</v>
      </c>
      <c r="G518" s="2" t="s">
        <v>71</v>
      </c>
      <c r="H518" s="2" t="s">
        <v>176</v>
      </c>
      <c r="I518" s="2" t="n">
        <v>4</v>
      </c>
      <c r="J518" s="2" t="n">
        <v>23</v>
      </c>
      <c r="K518" s="2" t="s">
        <v>1853</v>
      </c>
      <c r="L518" s="2" t="s">
        <v>1000</v>
      </c>
      <c r="M518" s="2"/>
      <c r="N518" s="3" t="n">
        <v>100641</v>
      </c>
      <c r="O518" s="2"/>
      <c r="P518" s="2" t="n">
        <v>16</v>
      </c>
      <c r="Q518" s="3" t="n">
        <v>1363</v>
      </c>
      <c r="R518" s="2" t="n">
        <v>7.43</v>
      </c>
      <c r="S518" s="2" t="n">
        <v>2</v>
      </c>
      <c r="T518" s="2" t="n">
        <v>1</v>
      </c>
      <c r="U518" s="2" t="n">
        <v>0</v>
      </c>
      <c r="V518" s="2"/>
      <c r="W518" s="2"/>
      <c r="X518" s="2" t="n">
        <v>0.07</v>
      </c>
      <c r="Y518" s="2" t="n">
        <v>0.3</v>
      </c>
      <c r="Z518" s="2" t="n">
        <v>0.1</v>
      </c>
      <c r="AA518" s="2" t="n">
        <v>20</v>
      </c>
      <c r="AB518" s="2"/>
      <c r="AC518" s="2" t="n">
        <v>7</v>
      </c>
      <c r="AD518" s="2" t="n">
        <v>0.5</v>
      </c>
      <c r="AE518" s="2"/>
      <c r="AF518" s="2" t="n">
        <v>34.3</v>
      </c>
      <c r="AG518" s="2" t="n">
        <v>72.6</v>
      </c>
      <c r="AH518" s="2" t="n">
        <v>3</v>
      </c>
      <c r="AI518" s="2" t="n">
        <v>32.1</v>
      </c>
      <c r="AJ518" s="2" t="n">
        <v>0.5</v>
      </c>
      <c r="AK518" s="2" t="n">
        <v>58.3</v>
      </c>
      <c r="AL518" s="2"/>
      <c r="AM518" s="2"/>
      <c r="AN518" s="2" t="n">
        <v>9.5</v>
      </c>
      <c r="AO518" s="2" t="n">
        <v>2.8</v>
      </c>
      <c r="AP518" s="2" t="n">
        <v>2.1</v>
      </c>
      <c r="AQ518" s="2" t="n">
        <v>4.3</v>
      </c>
      <c r="AR518" s="2" t="n">
        <v>0.3</v>
      </c>
      <c r="AS518" s="2" t="n">
        <v>4.9</v>
      </c>
      <c r="AT518" s="2" t="n">
        <v>0.1</v>
      </c>
      <c r="AU518" s="2" t="n">
        <v>1.9</v>
      </c>
      <c r="AV518" s="2" t="n">
        <v>1</v>
      </c>
      <c r="AW518" s="2" t="n">
        <v>1</v>
      </c>
      <c r="AX518" s="2"/>
      <c r="AY518" s="2"/>
      <c r="AZ518" s="2"/>
      <c r="BA518" s="2"/>
      <c r="BB518" s="2"/>
      <c r="BC518" s="2"/>
      <c r="BD518" s="4" t="s">
        <v>1854</v>
      </c>
    </row>
    <row r="519" customFormat="false" ht="15" hidden="false" customHeight="false" outlineLevel="0" collapsed="false">
      <c r="A519" s="2" t="n">
        <v>1649306</v>
      </c>
      <c r="B519" s="2" t="s">
        <v>1855</v>
      </c>
      <c r="C519" s="2" t="s">
        <v>1834</v>
      </c>
      <c r="D519" s="2" t="s">
        <v>58</v>
      </c>
      <c r="E519" s="2" t="s">
        <v>59</v>
      </c>
      <c r="F519" s="2" t="s">
        <v>70</v>
      </c>
      <c r="G519" s="2" t="s">
        <v>75</v>
      </c>
      <c r="H519" s="2" t="s">
        <v>756</v>
      </c>
      <c r="I519" s="2" t="n">
        <v>16</v>
      </c>
      <c r="J519" s="2" t="n">
        <v>25</v>
      </c>
      <c r="K519" s="2" t="s">
        <v>1856</v>
      </c>
      <c r="L519" s="2" t="s">
        <v>214</v>
      </c>
      <c r="M519" s="2" t="n">
        <v>178</v>
      </c>
      <c r="N519" s="3" t="n">
        <v>79505</v>
      </c>
      <c r="O519" s="2"/>
      <c r="P519" s="2" t="n">
        <v>8</v>
      </c>
      <c r="Q519" s="3" t="n">
        <v>629</v>
      </c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 t="n">
        <v>3</v>
      </c>
      <c r="AD519" s="2" t="n">
        <v>0.4</v>
      </c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4" t="s">
        <v>1857</v>
      </c>
    </row>
    <row r="520" customFormat="false" ht="15" hidden="false" customHeight="false" outlineLevel="0" collapsed="false">
      <c r="A520" s="2" t="n">
        <v>1460328</v>
      </c>
      <c r="B520" s="2" t="s">
        <v>1858</v>
      </c>
      <c r="C520" s="2" t="s">
        <v>1834</v>
      </c>
      <c r="D520" s="2" t="s">
        <v>58</v>
      </c>
      <c r="E520" s="2" t="s">
        <v>59</v>
      </c>
      <c r="F520" s="2" t="s">
        <v>70</v>
      </c>
      <c r="G520" s="2" t="s">
        <v>75</v>
      </c>
      <c r="H520" s="2" t="s">
        <v>756</v>
      </c>
      <c r="I520" s="2" t="n">
        <v>28</v>
      </c>
      <c r="J520" s="2" t="n">
        <v>30</v>
      </c>
      <c r="K520" s="2" t="s">
        <v>1859</v>
      </c>
      <c r="L520" s="2" t="s">
        <v>105</v>
      </c>
      <c r="M520" s="2" t="n">
        <v>185</v>
      </c>
      <c r="N520" s="3" t="n">
        <v>121122</v>
      </c>
      <c r="O520" s="2"/>
      <c r="P520" s="2" t="n">
        <v>11</v>
      </c>
      <c r="Q520" s="3" t="n">
        <v>368</v>
      </c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4" t="s">
        <v>1860</v>
      </c>
    </row>
    <row r="521" customFormat="false" ht="15" hidden="false" customHeight="false" outlineLevel="0" collapsed="false">
      <c r="A521" s="2" t="n">
        <v>1751990</v>
      </c>
      <c r="B521" s="2" t="s">
        <v>1861</v>
      </c>
      <c r="C521" s="2" t="s">
        <v>1834</v>
      </c>
      <c r="D521" s="2" t="s">
        <v>58</v>
      </c>
      <c r="E521" s="2" t="s">
        <v>59</v>
      </c>
      <c r="F521" s="2" t="s">
        <v>70</v>
      </c>
      <c r="G521" s="2" t="s">
        <v>75</v>
      </c>
      <c r="H521" s="2" t="s">
        <v>75</v>
      </c>
      <c r="I521" s="2" t="n">
        <v>23</v>
      </c>
      <c r="J521" s="2" t="n">
        <v>26</v>
      </c>
      <c r="K521" s="2" t="s">
        <v>1862</v>
      </c>
      <c r="L521" s="2" t="s">
        <v>243</v>
      </c>
      <c r="M521" s="2" t="n">
        <v>180</v>
      </c>
      <c r="N521" s="3" t="n">
        <v>62575</v>
      </c>
      <c r="O521" s="2"/>
      <c r="P521" s="2" t="n">
        <v>7</v>
      </c>
      <c r="Q521" s="3" t="n">
        <v>295</v>
      </c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 t="n">
        <v>1</v>
      </c>
      <c r="AD521" s="2" t="n">
        <v>0.3</v>
      </c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4" t="s">
        <v>1863</v>
      </c>
    </row>
    <row r="522" customFormat="false" ht="15" hidden="false" customHeight="false" outlineLevel="0" collapsed="false">
      <c r="A522" s="2" t="n">
        <v>1169433</v>
      </c>
      <c r="B522" s="2" t="s">
        <v>1864</v>
      </c>
      <c r="C522" s="2" t="s">
        <v>1834</v>
      </c>
      <c r="D522" s="2" t="s">
        <v>58</v>
      </c>
      <c r="E522" s="2" t="s">
        <v>59</v>
      </c>
      <c r="F522" s="2" t="s">
        <v>102</v>
      </c>
      <c r="G522" s="2" t="s">
        <v>103</v>
      </c>
      <c r="H522" s="2" t="s">
        <v>1865</v>
      </c>
      <c r="I522" s="2" t="n">
        <v>2</v>
      </c>
      <c r="J522" s="2" t="n">
        <v>28</v>
      </c>
      <c r="K522" s="2" t="s">
        <v>1866</v>
      </c>
      <c r="L522" s="2" t="s">
        <v>67</v>
      </c>
      <c r="M522" s="2" t="n">
        <v>175</v>
      </c>
      <c r="N522" s="3" t="n">
        <v>122599</v>
      </c>
      <c r="O522" s="2"/>
      <c r="P522" s="2" t="n">
        <v>25</v>
      </c>
      <c r="Q522" s="3" t="n">
        <v>2105</v>
      </c>
      <c r="R522" s="2" t="n">
        <v>7.01</v>
      </c>
      <c r="S522" s="2" t="n">
        <v>0</v>
      </c>
      <c r="T522" s="2" t="n">
        <v>1</v>
      </c>
      <c r="U522" s="2" t="n">
        <v>0</v>
      </c>
      <c r="V522" s="2" t="n">
        <v>1</v>
      </c>
      <c r="W522" s="2"/>
      <c r="X522" s="2" t="n">
        <v>0.04</v>
      </c>
      <c r="Y522" s="2" t="n">
        <v>0.9</v>
      </c>
      <c r="Z522" s="2" t="n">
        <v>0.2</v>
      </c>
      <c r="AA522" s="2" t="n">
        <v>5</v>
      </c>
      <c r="AB522" s="2" t="n">
        <v>2</v>
      </c>
      <c r="AC522" s="2" t="n">
        <v>12</v>
      </c>
      <c r="AD522" s="2" t="n">
        <v>0.5</v>
      </c>
      <c r="AE522" s="2" t="n">
        <v>1</v>
      </c>
      <c r="AF522" s="2" t="n">
        <v>38.1</v>
      </c>
      <c r="AG522" s="2" t="n">
        <v>80.5</v>
      </c>
      <c r="AH522" s="2" t="n">
        <v>1.5</v>
      </c>
      <c r="AI522" s="2" t="n">
        <v>35.8</v>
      </c>
      <c r="AJ522" s="2" t="n">
        <v>0.5</v>
      </c>
      <c r="AK522" s="2" t="n">
        <v>80</v>
      </c>
      <c r="AL522" s="2"/>
      <c r="AM522" s="2"/>
      <c r="AN522" s="2" t="n">
        <v>4.5</v>
      </c>
      <c r="AO522" s="2" t="n">
        <v>1.4</v>
      </c>
      <c r="AP522" s="2" t="n">
        <v>1.2</v>
      </c>
      <c r="AQ522" s="2" t="n">
        <v>1.6</v>
      </c>
      <c r="AR522" s="2" t="n">
        <v>0.3</v>
      </c>
      <c r="AS522" s="2" t="n">
        <v>4.2</v>
      </c>
      <c r="AT522" s="2" t="n">
        <v>0</v>
      </c>
      <c r="AU522" s="2" t="n">
        <v>2.8</v>
      </c>
      <c r="AV522" s="2" t="n">
        <v>1</v>
      </c>
      <c r="AW522" s="2" t="n">
        <v>1</v>
      </c>
      <c r="AX522" s="2"/>
      <c r="AY522" s="2"/>
      <c r="AZ522" s="2"/>
      <c r="BA522" s="2"/>
      <c r="BB522" s="2"/>
      <c r="BC522" s="2"/>
      <c r="BD522" s="4" t="s">
        <v>1867</v>
      </c>
    </row>
    <row r="523" customFormat="false" ht="15" hidden="false" customHeight="false" outlineLevel="0" collapsed="false">
      <c r="A523" s="2" t="n">
        <v>1060363</v>
      </c>
      <c r="B523" s="2" t="s">
        <v>1868</v>
      </c>
      <c r="C523" s="2" t="s">
        <v>1834</v>
      </c>
      <c r="D523" s="2" t="s">
        <v>58</v>
      </c>
      <c r="E523" s="2" t="s">
        <v>59</v>
      </c>
      <c r="F523" s="2" t="s">
        <v>102</v>
      </c>
      <c r="G523" s="2" t="s">
        <v>404</v>
      </c>
      <c r="H523" s="2" t="s">
        <v>1869</v>
      </c>
      <c r="I523" s="2" t="n">
        <v>14</v>
      </c>
      <c r="J523" s="2" t="n">
        <v>29</v>
      </c>
      <c r="K523" s="2" t="s">
        <v>1870</v>
      </c>
      <c r="L523" s="2" t="s">
        <v>67</v>
      </c>
      <c r="M523" s="2" t="n">
        <v>170</v>
      </c>
      <c r="N523" s="3" t="n">
        <v>72000</v>
      </c>
      <c r="O523" s="2"/>
      <c r="P523" s="2" t="n">
        <v>26</v>
      </c>
      <c r="Q523" s="3" t="n">
        <v>1848</v>
      </c>
      <c r="R523" s="2" t="n">
        <v>6.81</v>
      </c>
      <c r="S523" s="2" t="n">
        <v>0</v>
      </c>
      <c r="T523" s="2" t="n">
        <v>1</v>
      </c>
      <c r="U523" s="2" t="n">
        <v>0</v>
      </c>
      <c r="V523" s="2" t="n">
        <v>1</v>
      </c>
      <c r="W523" s="2"/>
      <c r="X523" s="2" t="n">
        <v>0.05</v>
      </c>
      <c r="Y523" s="2" t="n">
        <v>0.5</v>
      </c>
      <c r="Z523" s="2" t="n">
        <v>0.1</v>
      </c>
      <c r="AA523" s="2" t="n">
        <v>10</v>
      </c>
      <c r="AB523" s="2"/>
      <c r="AC523" s="2" t="n">
        <v>21</v>
      </c>
      <c r="AD523" s="2" t="n">
        <v>1</v>
      </c>
      <c r="AE523" s="2" t="n">
        <v>3</v>
      </c>
      <c r="AF523" s="2" t="n">
        <v>36.6</v>
      </c>
      <c r="AG523" s="2" t="n">
        <v>85.9</v>
      </c>
      <c r="AH523" s="2" t="n">
        <v>1.5</v>
      </c>
      <c r="AI523" s="2" t="n">
        <v>48.4</v>
      </c>
      <c r="AJ523" s="2" t="n">
        <v>0.4</v>
      </c>
      <c r="AK523" s="2" t="n">
        <v>47.4</v>
      </c>
      <c r="AL523" s="2"/>
      <c r="AM523" s="2"/>
      <c r="AN523" s="2" t="n">
        <v>3.4</v>
      </c>
      <c r="AO523" s="2" t="n">
        <v>0.9</v>
      </c>
      <c r="AP523" s="2" t="n">
        <v>0.8</v>
      </c>
      <c r="AQ523" s="2" t="n">
        <v>1.3</v>
      </c>
      <c r="AR523" s="2" t="n">
        <v>0.4</v>
      </c>
      <c r="AS523" s="2" t="n">
        <v>4.4</v>
      </c>
      <c r="AT523" s="2" t="n">
        <v>0.4</v>
      </c>
      <c r="AU523" s="2" t="n">
        <v>2.8</v>
      </c>
      <c r="AV523" s="2" t="n">
        <v>1.1</v>
      </c>
      <c r="AW523" s="2" t="n">
        <v>3</v>
      </c>
      <c r="AX523" s="2"/>
      <c r="AY523" s="2"/>
      <c r="AZ523" s="2"/>
      <c r="BA523" s="2"/>
      <c r="BB523" s="2"/>
      <c r="BC523" s="2"/>
      <c r="BD523" s="4" t="s">
        <v>1871</v>
      </c>
    </row>
    <row r="524" customFormat="false" ht="15" hidden="false" customHeight="false" outlineLevel="0" collapsed="false">
      <c r="A524" s="2" t="n">
        <v>1724751</v>
      </c>
      <c r="B524" s="2" t="s">
        <v>1872</v>
      </c>
      <c r="C524" s="2" t="s">
        <v>1834</v>
      </c>
      <c r="D524" s="2" t="s">
        <v>58</v>
      </c>
      <c r="E524" s="2" t="s">
        <v>59</v>
      </c>
      <c r="F524" s="2" t="s">
        <v>102</v>
      </c>
      <c r="G524" s="2" t="s">
        <v>113</v>
      </c>
      <c r="H524" s="2" t="s">
        <v>1873</v>
      </c>
      <c r="I524" s="2" t="n">
        <v>10</v>
      </c>
      <c r="J524" s="2" t="n">
        <v>23</v>
      </c>
      <c r="K524" s="2" t="s">
        <v>1874</v>
      </c>
      <c r="L524" s="2" t="s">
        <v>67</v>
      </c>
      <c r="M524" s="2" t="n">
        <v>175</v>
      </c>
      <c r="N524" s="3" t="n">
        <v>103165</v>
      </c>
      <c r="O524" s="2"/>
      <c r="P524" s="2" t="n">
        <v>26</v>
      </c>
      <c r="Q524" s="3" t="n">
        <v>1716</v>
      </c>
      <c r="R524" s="2" t="n">
        <v>6.82</v>
      </c>
      <c r="S524" s="2" t="n">
        <v>1</v>
      </c>
      <c r="T524" s="2" t="n">
        <v>1</v>
      </c>
      <c r="U524" s="2" t="n">
        <v>0</v>
      </c>
      <c r="V524" s="2" t="n">
        <v>4</v>
      </c>
      <c r="W524" s="2"/>
      <c r="X524" s="2" t="n">
        <v>0.05</v>
      </c>
      <c r="Y524" s="2" t="n">
        <v>1.2</v>
      </c>
      <c r="Z524" s="2" t="n">
        <v>0.6</v>
      </c>
      <c r="AA524" s="2" t="n">
        <v>4.4</v>
      </c>
      <c r="AB524" s="2" t="n">
        <v>2</v>
      </c>
      <c r="AC524" s="2" t="n">
        <v>22</v>
      </c>
      <c r="AD524" s="2" t="n">
        <v>1.2</v>
      </c>
      <c r="AE524" s="2" t="n">
        <v>5</v>
      </c>
      <c r="AF524" s="2" t="n">
        <v>25.8</v>
      </c>
      <c r="AG524" s="2" t="n">
        <v>78.9</v>
      </c>
      <c r="AH524" s="2" t="n">
        <v>0.9</v>
      </c>
      <c r="AI524" s="2" t="n">
        <v>41.9</v>
      </c>
      <c r="AJ524" s="2" t="n">
        <v>0.5</v>
      </c>
      <c r="AK524" s="2" t="n">
        <v>40</v>
      </c>
      <c r="AL524" s="2"/>
      <c r="AM524" s="2"/>
      <c r="AN524" s="2" t="n">
        <v>2.5</v>
      </c>
      <c r="AO524" s="2" t="n">
        <v>1.3</v>
      </c>
      <c r="AP524" s="2" t="n">
        <v>0.6</v>
      </c>
      <c r="AQ524" s="2" t="n">
        <v>0.6</v>
      </c>
      <c r="AR524" s="2"/>
      <c r="AS524" s="2" t="n">
        <v>3.7</v>
      </c>
      <c r="AT524" s="2" t="n">
        <v>1.1</v>
      </c>
      <c r="AU524" s="2" t="n">
        <v>1.7</v>
      </c>
      <c r="AV524" s="2" t="n">
        <v>1</v>
      </c>
      <c r="AW524" s="2" t="n">
        <v>3</v>
      </c>
      <c r="AX524" s="2"/>
      <c r="AY524" s="2" t="n">
        <v>1</v>
      </c>
      <c r="AZ524" s="2"/>
      <c r="BA524" s="2"/>
      <c r="BB524" s="2"/>
      <c r="BC524" s="2"/>
      <c r="BD524" s="4" t="s">
        <v>1875</v>
      </c>
    </row>
    <row r="525" customFormat="false" ht="15" hidden="false" customHeight="false" outlineLevel="0" collapsed="false">
      <c r="A525" s="2" t="n">
        <v>1710552</v>
      </c>
      <c r="B525" s="2" t="s">
        <v>1876</v>
      </c>
      <c r="C525" s="2" t="s">
        <v>1834</v>
      </c>
      <c r="D525" s="2" t="s">
        <v>58</v>
      </c>
      <c r="E525" s="2" t="s">
        <v>59</v>
      </c>
      <c r="F525" s="2" t="s">
        <v>102</v>
      </c>
      <c r="G525" s="2" t="s">
        <v>147</v>
      </c>
      <c r="H525" s="2" t="s">
        <v>1877</v>
      </c>
      <c r="I525" s="2" t="n">
        <v>19</v>
      </c>
      <c r="J525" s="2" t="n">
        <v>23</v>
      </c>
      <c r="K525" s="2" t="s">
        <v>1878</v>
      </c>
      <c r="L525" s="2" t="s">
        <v>67</v>
      </c>
      <c r="M525" s="2" t="n">
        <v>183</v>
      </c>
      <c r="N525" s="3" t="n">
        <v>235953</v>
      </c>
      <c r="O525" s="2"/>
      <c r="P525" s="2" t="n">
        <v>23</v>
      </c>
      <c r="Q525" s="3" t="n">
        <v>1608</v>
      </c>
      <c r="R525" s="2" t="n">
        <v>6.96</v>
      </c>
      <c r="S525" s="2" t="n">
        <v>1</v>
      </c>
      <c r="T525" s="2" t="n">
        <v>6</v>
      </c>
      <c r="U525" s="2" t="n">
        <v>0</v>
      </c>
      <c r="V525" s="2" t="n">
        <v>1</v>
      </c>
      <c r="W525" s="2"/>
      <c r="X525" s="2" t="n">
        <v>0.34</v>
      </c>
      <c r="Y525" s="2" t="n">
        <v>1.2</v>
      </c>
      <c r="Z525" s="2" t="n">
        <v>0.4</v>
      </c>
      <c r="AA525" s="2" t="n">
        <v>27.3</v>
      </c>
      <c r="AB525" s="2" t="n">
        <v>1</v>
      </c>
      <c r="AC525" s="2" t="n">
        <v>25</v>
      </c>
      <c r="AD525" s="2" t="n">
        <v>1.4</v>
      </c>
      <c r="AE525" s="2" t="n">
        <v>3</v>
      </c>
      <c r="AF525" s="2" t="n">
        <v>28.8</v>
      </c>
      <c r="AG525" s="2" t="n">
        <v>82.4</v>
      </c>
      <c r="AH525" s="2" t="n">
        <v>0.7</v>
      </c>
      <c r="AI525" s="2" t="n">
        <v>31.6</v>
      </c>
      <c r="AJ525" s="2" t="n">
        <v>0.4</v>
      </c>
      <c r="AK525" s="2" t="n">
        <v>40</v>
      </c>
      <c r="AL525" s="2"/>
      <c r="AM525" s="2"/>
      <c r="AN525" s="2" t="n">
        <v>2.1</v>
      </c>
      <c r="AO525" s="2" t="n">
        <v>1.2</v>
      </c>
      <c r="AP525" s="2" t="n">
        <v>0.4</v>
      </c>
      <c r="AQ525" s="2" t="n">
        <v>0.4</v>
      </c>
      <c r="AR525" s="2" t="n">
        <v>0.1</v>
      </c>
      <c r="AS525" s="2" t="n">
        <v>3.4</v>
      </c>
      <c r="AT525" s="2" t="n">
        <v>0.6</v>
      </c>
      <c r="AU525" s="2" t="n">
        <v>2</v>
      </c>
      <c r="AV525" s="2" t="n">
        <v>1</v>
      </c>
      <c r="AW525" s="2"/>
      <c r="AX525" s="2"/>
      <c r="AY525" s="2"/>
      <c r="AZ525" s="2"/>
      <c r="BA525" s="2"/>
      <c r="BB525" s="2"/>
      <c r="BC525" s="2"/>
      <c r="BD525" s="4" t="s">
        <v>1879</v>
      </c>
    </row>
    <row r="526" customFormat="false" ht="15" hidden="false" customHeight="false" outlineLevel="0" collapsed="false">
      <c r="A526" s="2" t="n">
        <v>1502991</v>
      </c>
      <c r="B526" s="2" t="s">
        <v>1880</v>
      </c>
      <c r="C526" s="2" t="s">
        <v>1834</v>
      </c>
      <c r="D526" s="2" t="s">
        <v>58</v>
      </c>
      <c r="E526" s="2" t="s">
        <v>59</v>
      </c>
      <c r="F526" s="2" t="s">
        <v>102</v>
      </c>
      <c r="G526" s="2" t="s">
        <v>404</v>
      </c>
      <c r="H526" s="2" t="s">
        <v>597</v>
      </c>
      <c r="I526" s="2" t="n">
        <v>42</v>
      </c>
      <c r="J526" s="2" t="n">
        <v>26</v>
      </c>
      <c r="K526" s="2" t="s">
        <v>1881</v>
      </c>
      <c r="L526" s="2" t="s">
        <v>67</v>
      </c>
      <c r="M526" s="2" t="n">
        <v>178</v>
      </c>
      <c r="N526" s="3" t="n">
        <v>83100</v>
      </c>
      <c r="O526" s="2"/>
      <c r="P526" s="2" t="n">
        <v>24</v>
      </c>
      <c r="Q526" s="3" t="n">
        <v>1537</v>
      </c>
      <c r="R526" s="2" t="n">
        <v>6.7</v>
      </c>
      <c r="S526" s="2" t="n">
        <v>0</v>
      </c>
      <c r="T526" s="2"/>
      <c r="U526" s="2"/>
      <c r="V526" s="2" t="n">
        <v>2</v>
      </c>
      <c r="W526" s="2"/>
      <c r="X526" s="2"/>
      <c r="Y526" s="2" t="n">
        <v>0.4</v>
      </c>
      <c r="Z526" s="2" t="n">
        <v>0.1</v>
      </c>
      <c r="AA526" s="2" t="n">
        <v>0</v>
      </c>
      <c r="AB526" s="2" t="n">
        <v>1</v>
      </c>
      <c r="AC526" s="2" t="n">
        <v>11</v>
      </c>
      <c r="AD526" s="2" t="n">
        <v>0.6</v>
      </c>
      <c r="AE526" s="2"/>
      <c r="AF526" s="2" t="n">
        <v>37.7</v>
      </c>
      <c r="AG526" s="2" t="n">
        <v>82.2</v>
      </c>
      <c r="AH526" s="2" t="n">
        <v>2</v>
      </c>
      <c r="AI526" s="2" t="n">
        <v>37.2</v>
      </c>
      <c r="AJ526" s="2" t="n">
        <v>0.6</v>
      </c>
      <c r="AK526" s="2" t="n">
        <v>64.7</v>
      </c>
      <c r="AL526" s="2"/>
      <c r="AM526" s="2"/>
      <c r="AN526" s="2" t="n">
        <v>4.9</v>
      </c>
      <c r="AO526" s="2" t="n">
        <v>2.2</v>
      </c>
      <c r="AP526" s="2" t="n">
        <v>0.8</v>
      </c>
      <c r="AQ526" s="2" t="n">
        <v>1.5</v>
      </c>
      <c r="AR526" s="2" t="n">
        <v>0.4</v>
      </c>
      <c r="AS526" s="2" t="n">
        <v>4</v>
      </c>
      <c r="AT526" s="2" t="n">
        <v>0.2</v>
      </c>
      <c r="AU526" s="2" t="n">
        <v>2.7</v>
      </c>
      <c r="AV526" s="2" t="n">
        <v>1.3</v>
      </c>
      <c r="AW526" s="2" t="n">
        <v>6</v>
      </c>
      <c r="AX526" s="2"/>
      <c r="AY526" s="2"/>
      <c r="AZ526" s="2"/>
      <c r="BA526" s="2"/>
      <c r="BB526" s="2"/>
      <c r="BC526" s="2"/>
      <c r="BD526" s="4" t="s">
        <v>1882</v>
      </c>
    </row>
    <row r="527" customFormat="false" ht="15" hidden="false" customHeight="false" outlineLevel="0" collapsed="false">
      <c r="A527" s="2" t="n">
        <v>962320</v>
      </c>
      <c r="B527" s="2" t="s">
        <v>1883</v>
      </c>
      <c r="C527" s="2" t="s">
        <v>1834</v>
      </c>
      <c r="D527" s="2" t="s">
        <v>58</v>
      </c>
      <c r="E527" s="2" t="s">
        <v>59</v>
      </c>
      <c r="F527" s="2" t="s">
        <v>102</v>
      </c>
      <c r="G527" s="2" t="s">
        <v>427</v>
      </c>
      <c r="H527" s="2" t="s">
        <v>1884</v>
      </c>
      <c r="I527" s="2" t="n">
        <v>37</v>
      </c>
      <c r="J527" s="2" t="n">
        <v>24</v>
      </c>
      <c r="K527" s="2" t="s">
        <v>1885</v>
      </c>
      <c r="L527" s="2" t="s">
        <v>110</v>
      </c>
      <c r="M527" s="2" t="n">
        <v>183</v>
      </c>
      <c r="N527" s="3" t="n">
        <v>117459</v>
      </c>
      <c r="O527" s="2"/>
      <c r="P527" s="2" t="n">
        <v>24</v>
      </c>
      <c r="Q527" s="3" t="n">
        <v>1533</v>
      </c>
      <c r="R527" s="2" t="n">
        <v>6.57</v>
      </c>
      <c r="S527" s="2" t="n">
        <v>1</v>
      </c>
      <c r="T527" s="2" t="n">
        <v>2</v>
      </c>
      <c r="U527" s="2" t="n">
        <v>0</v>
      </c>
      <c r="V527" s="2" t="n">
        <v>1</v>
      </c>
      <c r="W527" s="2"/>
      <c r="X527" s="2" t="n">
        <v>0.12</v>
      </c>
      <c r="Y527" s="2" t="n">
        <v>2.7</v>
      </c>
      <c r="Z527" s="2" t="n">
        <v>1.1</v>
      </c>
      <c r="AA527" s="2" t="n">
        <v>4.4</v>
      </c>
      <c r="AB527" s="2" t="n">
        <v>4</v>
      </c>
      <c r="AC527" s="2" t="n">
        <v>17</v>
      </c>
      <c r="AD527" s="2" t="n">
        <v>1</v>
      </c>
      <c r="AE527" s="2" t="n">
        <v>3</v>
      </c>
      <c r="AF527" s="2" t="n">
        <v>16</v>
      </c>
      <c r="AG527" s="2" t="n">
        <v>65.9</v>
      </c>
      <c r="AH527" s="2" t="n">
        <v>0.8</v>
      </c>
      <c r="AI527" s="2" t="n">
        <v>28.6</v>
      </c>
      <c r="AJ527" s="2" t="n">
        <v>0.9</v>
      </c>
      <c r="AK527" s="2" t="n">
        <v>35.7</v>
      </c>
      <c r="AL527" s="2"/>
      <c r="AM527" s="2"/>
      <c r="AN527" s="2" t="n">
        <v>2</v>
      </c>
      <c r="AO527" s="2" t="n">
        <v>1.3</v>
      </c>
      <c r="AP527" s="2" t="n">
        <v>0.2</v>
      </c>
      <c r="AQ527" s="2" t="n">
        <v>0.5</v>
      </c>
      <c r="AR527" s="2" t="n">
        <v>0.1</v>
      </c>
      <c r="AS527" s="2" t="n">
        <v>3.6</v>
      </c>
      <c r="AT527" s="2" t="n">
        <v>0.6</v>
      </c>
      <c r="AU527" s="2" t="n">
        <v>1.8</v>
      </c>
      <c r="AV527" s="2" t="n">
        <v>2</v>
      </c>
      <c r="AW527" s="2" t="n">
        <v>4</v>
      </c>
      <c r="AX527" s="2"/>
      <c r="AY527" s="2"/>
      <c r="AZ527" s="2"/>
      <c r="BA527" s="2"/>
      <c r="BB527" s="2"/>
      <c r="BC527" s="2"/>
      <c r="BD527" s="4" t="s">
        <v>1886</v>
      </c>
    </row>
    <row r="528" customFormat="false" ht="15" hidden="false" customHeight="false" outlineLevel="0" collapsed="false">
      <c r="A528" s="2" t="n">
        <v>1919814</v>
      </c>
      <c r="B528" s="2" t="s">
        <v>1887</v>
      </c>
      <c r="C528" s="2" t="s">
        <v>1834</v>
      </c>
      <c r="D528" s="2" t="s">
        <v>58</v>
      </c>
      <c r="E528" s="2" t="s">
        <v>59</v>
      </c>
      <c r="F528" s="2" t="s">
        <v>102</v>
      </c>
      <c r="G528" s="2" t="s">
        <v>92</v>
      </c>
      <c r="H528" s="2" t="s">
        <v>1888</v>
      </c>
      <c r="I528" s="2" t="n">
        <v>13</v>
      </c>
      <c r="J528" s="2" t="n">
        <v>22</v>
      </c>
      <c r="K528" s="2" t="s">
        <v>1497</v>
      </c>
      <c r="L528" s="2" t="s">
        <v>67</v>
      </c>
      <c r="M528" s="2" t="n">
        <v>175</v>
      </c>
      <c r="N528" s="3" t="n">
        <v>98707</v>
      </c>
      <c r="O528" s="2"/>
      <c r="P528" s="2" t="n">
        <v>18</v>
      </c>
      <c r="Q528" s="3" t="n">
        <v>939</v>
      </c>
      <c r="R528" s="2" t="n">
        <v>6.51</v>
      </c>
      <c r="S528" s="2" t="n">
        <v>1</v>
      </c>
      <c r="T528" s="2"/>
      <c r="U528" s="2"/>
      <c r="V528" s="2" t="n">
        <v>1</v>
      </c>
      <c r="W528" s="2"/>
      <c r="X528" s="2"/>
      <c r="Y528" s="2" t="n">
        <v>0.3</v>
      </c>
      <c r="Z528" s="2" t="n">
        <v>0.1</v>
      </c>
      <c r="AA528" s="2" t="n">
        <v>0</v>
      </c>
      <c r="AB528" s="2"/>
      <c r="AC528" s="2" t="n">
        <v>12</v>
      </c>
      <c r="AD528" s="2" t="n">
        <v>1.2</v>
      </c>
      <c r="AE528" s="2" t="n">
        <v>1</v>
      </c>
      <c r="AF528" s="2" t="n">
        <v>26.8</v>
      </c>
      <c r="AG528" s="2" t="n">
        <v>77.8</v>
      </c>
      <c r="AH528" s="2" t="n">
        <v>1.2</v>
      </c>
      <c r="AI528" s="2" t="n">
        <v>29.3</v>
      </c>
      <c r="AJ528" s="2" t="n">
        <v>0.3</v>
      </c>
      <c r="AK528" s="2" t="n">
        <v>30</v>
      </c>
      <c r="AL528" s="2"/>
      <c r="AM528" s="2"/>
      <c r="AN528" s="2" t="n">
        <v>3.5</v>
      </c>
      <c r="AO528" s="2" t="n">
        <v>1.6</v>
      </c>
      <c r="AP528" s="2" t="n">
        <v>1</v>
      </c>
      <c r="AQ528" s="2" t="n">
        <v>0.7</v>
      </c>
      <c r="AR528" s="2" t="n">
        <v>0.2</v>
      </c>
      <c r="AS528" s="2" t="n">
        <v>3.5</v>
      </c>
      <c r="AT528" s="2" t="n">
        <v>0.2</v>
      </c>
      <c r="AU528" s="2" t="n">
        <v>1.2</v>
      </c>
      <c r="AV528" s="2" t="n">
        <v>1.1</v>
      </c>
      <c r="AW528" s="2"/>
      <c r="AX528" s="2"/>
      <c r="AY528" s="2"/>
      <c r="AZ528" s="2"/>
      <c r="BA528" s="2"/>
      <c r="BB528" s="2"/>
      <c r="BC528" s="2"/>
      <c r="BD528" s="4" t="s">
        <v>1889</v>
      </c>
    </row>
    <row r="529" customFormat="false" ht="15" hidden="false" customHeight="false" outlineLevel="0" collapsed="false">
      <c r="A529" s="2" t="n">
        <v>820312</v>
      </c>
      <c r="B529" s="2" t="s">
        <v>1890</v>
      </c>
      <c r="C529" s="2" t="s">
        <v>1834</v>
      </c>
      <c r="D529" s="2" t="s">
        <v>58</v>
      </c>
      <c r="E529" s="2" t="s">
        <v>59</v>
      </c>
      <c r="F529" s="2" t="s">
        <v>102</v>
      </c>
      <c r="G529" s="2" t="s">
        <v>658</v>
      </c>
      <c r="H529" s="2" t="s">
        <v>1891</v>
      </c>
      <c r="I529" s="2" t="n">
        <v>8</v>
      </c>
      <c r="J529" s="2" t="n">
        <v>32</v>
      </c>
      <c r="K529" s="2" t="s">
        <v>1892</v>
      </c>
      <c r="L529" s="2" t="s">
        <v>1893</v>
      </c>
      <c r="M529" s="2" t="n">
        <v>178</v>
      </c>
      <c r="N529" s="3" t="n">
        <v>50000</v>
      </c>
      <c r="O529" s="2"/>
      <c r="P529" s="2" t="n">
        <v>24</v>
      </c>
      <c r="Q529" s="3" t="n">
        <v>649</v>
      </c>
      <c r="R529" s="2" t="n">
        <v>6.45</v>
      </c>
      <c r="S529" s="2" t="n">
        <v>0</v>
      </c>
      <c r="T529" s="2"/>
      <c r="U529" s="2"/>
      <c r="V529" s="2"/>
      <c r="W529" s="2"/>
      <c r="X529" s="2"/>
      <c r="Y529" s="2" t="n">
        <v>0.3</v>
      </c>
      <c r="Z529" s="2"/>
      <c r="AA529" s="2" t="n">
        <v>0</v>
      </c>
      <c r="AB529" s="2"/>
      <c r="AC529" s="2" t="n">
        <v>4</v>
      </c>
      <c r="AD529" s="2" t="n">
        <v>0.6</v>
      </c>
      <c r="AE529" s="2"/>
      <c r="AF529" s="2" t="n">
        <v>22.3</v>
      </c>
      <c r="AG529" s="2" t="n">
        <v>70.9</v>
      </c>
      <c r="AH529" s="2" t="n">
        <v>1.1</v>
      </c>
      <c r="AI529" s="2" t="n">
        <v>30.8</v>
      </c>
      <c r="AJ529" s="2" t="n">
        <v>0.6</v>
      </c>
      <c r="AK529" s="2" t="n">
        <v>36.4</v>
      </c>
      <c r="AL529" s="2"/>
      <c r="AM529" s="2"/>
      <c r="AN529" s="2" t="n">
        <v>5.7</v>
      </c>
      <c r="AO529" s="2" t="n">
        <v>1.9</v>
      </c>
      <c r="AP529" s="2" t="n">
        <v>1.1</v>
      </c>
      <c r="AQ529" s="2" t="n">
        <v>2.2</v>
      </c>
      <c r="AR529" s="2" t="n">
        <v>0.4</v>
      </c>
      <c r="AS529" s="2" t="n">
        <v>4</v>
      </c>
      <c r="AT529" s="2" t="n">
        <v>0.3</v>
      </c>
      <c r="AU529" s="2" t="n">
        <v>2.6</v>
      </c>
      <c r="AV529" s="2" t="n">
        <v>1.4</v>
      </c>
      <c r="AW529" s="2" t="n">
        <v>1</v>
      </c>
      <c r="AX529" s="2"/>
      <c r="AY529" s="2"/>
      <c r="AZ529" s="2"/>
      <c r="BA529" s="2"/>
      <c r="BB529" s="2"/>
      <c r="BC529" s="2"/>
      <c r="BD529" s="4" t="s">
        <v>1894</v>
      </c>
    </row>
    <row r="530" customFormat="false" ht="15" hidden="false" customHeight="false" outlineLevel="0" collapsed="false">
      <c r="A530" s="2" t="n">
        <v>1615769</v>
      </c>
      <c r="B530" s="2" t="s">
        <v>1895</v>
      </c>
      <c r="C530" s="2" t="s">
        <v>1834</v>
      </c>
      <c r="D530" s="2" t="s">
        <v>58</v>
      </c>
      <c r="E530" s="2" t="s">
        <v>59</v>
      </c>
      <c r="F530" s="2" t="s">
        <v>102</v>
      </c>
      <c r="G530" s="2" t="s">
        <v>103</v>
      </c>
      <c r="H530" s="2" t="s">
        <v>123</v>
      </c>
      <c r="I530" s="2" t="n">
        <v>15</v>
      </c>
      <c r="J530" s="2" t="n">
        <v>25</v>
      </c>
      <c r="K530" s="2" t="s">
        <v>1896</v>
      </c>
      <c r="L530" s="2" t="s">
        <v>67</v>
      </c>
      <c r="M530" s="2" t="n">
        <v>185</v>
      </c>
      <c r="N530" s="3" t="n">
        <v>166108</v>
      </c>
      <c r="O530" s="2"/>
      <c r="P530" s="2" t="n">
        <v>7</v>
      </c>
      <c r="Q530" s="3" t="n">
        <v>410</v>
      </c>
      <c r="R530" s="2"/>
      <c r="S530" s="2"/>
      <c r="T530" s="2" t="n">
        <v>1</v>
      </c>
      <c r="U530" s="2" t="n">
        <v>0</v>
      </c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4" t="s">
        <v>1897</v>
      </c>
    </row>
    <row r="531" customFormat="false" ht="15" hidden="false" customHeight="false" outlineLevel="0" collapsed="false">
      <c r="A531" s="2" t="n">
        <v>1626995</v>
      </c>
      <c r="B531" s="2" t="s">
        <v>1898</v>
      </c>
      <c r="C531" s="2" t="s">
        <v>1834</v>
      </c>
      <c r="D531" s="2" t="s">
        <v>58</v>
      </c>
      <c r="E531" s="2" t="s">
        <v>59</v>
      </c>
      <c r="F531" s="2" t="s">
        <v>102</v>
      </c>
      <c r="G531" s="2" t="s">
        <v>113</v>
      </c>
      <c r="H531" s="2" t="s">
        <v>1899</v>
      </c>
      <c r="I531" s="2" t="n">
        <v>36</v>
      </c>
      <c r="J531" s="2" t="n">
        <v>25</v>
      </c>
      <c r="K531" s="2" t="s">
        <v>1900</v>
      </c>
      <c r="L531" s="2" t="s">
        <v>198</v>
      </c>
      <c r="M531" s="2" t="n">
        <v>175</v>
      </c>
      <c r="N531" s="3"/>
      <c r="O531" s="2"/>
      <c r="P531" s="2" t="n">
        <v>11</v>
      </c>
      <c r="Q531" s="3" t="n">
        <v>371</v>
      </c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 t="n">
        <v>2</v>
      </c>
      <c r="AD531" s="2" t="n">
        <v>0.5</v>
      </c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 t="n">
        <v>1</v>
      </c>
      <c r="AX531" s="2"/>
      <c r="AY531" s="2"/>
      <c r="AZ531" s="2"/>
      <c r="BA531" s="2"/>
      <c r="BB531" s="2"/>
      <c r="BC531" s="2"/>
      <c r="BD531" s="4" t="s">
        <v>1901</v>
      </c>
    </row>
    <row r="532" customFormat="false" ht="15" hidden="false" customHeight="false" outlineLevel="0" collapsed="false">
      <c r="A532" s="2" t="n">
        <v>1724750</v>
      </c>
      <c r="B532" s="2" t="s">
        <v>1902</v>
      </c>
      <c r="C532" s="2" t="s">
        <v>1834</v>
      </c>
      <c r="D532" s="2" t="s">
        <v>58</v>
      </c>
      <c r="E532" s="2" t="s">
        <v>59</v>
      </c>
      <c r="F532" s="2" t="s">
        <v>102</v>
      </c>
      <c r="G532" s="2" t="s">
        <v>113</v>
      </c>
      <c r="H532" s="2" t="s">
        <v>113</v>
      </c>
      <c r="I532" s="2" t="n">
        <v>18</v>
      </c>
      <c r="J532" s="2" t="n">
        <v>25</v>
      </c>
      <c r="K532" s="2" t="s">
        <v>1903</v>
      </c>
      <c r="L532" s="2" t="s">
        <v>67</v>
      </c>
      <c r="M532" s="2" t="n">
        <v>178</v>
      </c>
      <c r="N532" s="3" t="n">
        <v>50000</v>
      </c>
      <c r="O532" s="2"/>
      <c r="P532" s="2" t="n">
        <v>4</v>
      </c>
      <c r="Q532" s="3" t="n">
        <v>25</v>
      </c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4" t="s">
        <v>1904</v>
      </c>
    </row>
    <row r="533" customFormat="false" ht="15" hidden="false" customHeight="false" outlineLevel="0" collapsed="false">
      <c r="A533" s="2" t="n">
        <v>839198</v>
      </c>
      <c r="B533" s="2" t="s">
        <v>1905</v>
      </c>
      <c r="C533" s="2" t="s">
        <v>1834</v>
      </c>
      <c r="D533" s="2" t="s">
        <v>58</v>
      </c>
      <c r="E533" s="2" t="s">
        <v>59</v>
      </c>
      <c r="F533" s="2" t="s">
        <v>137</v>
      </c>
      <c r="G533" s="2" t="s">
        <v>147</v>
      </c>
      <c r="H533" s="2" t="s">
        <v>147</v>
      </c>
      <c r="I533" s="2" t="n">
        <v>9</v>
      </c>
      <c r="J533" s="2" t="n">
        <v>28</v>
      </c>
      <c r="K533" s="2" t="s">
        <v>589</v>
      </c>
      <c r="L533" s="2" t="s">
        <v>529</v>
      </c>
      <c r="M533" s="2" t="n">
        <v>185</v>
      </c>
      <c r="N533" s="3" t="n">
        <v>78028</v>
      </c>
      <c r="O533" s="2"/>
      <c r="P533" s="2" t="n">
        <v>22</v>
      </c>
      <c r="Q533" s="3" t="n">
        <v>1664</v>
      </c>
      <c r="R533" s="2" t="n">
        <v>6.63</v>
      </c>
      <c r="S533" s="2" t="n">
        <v>3</v>
      </c>
      <c r="T533" s="2" t="n">
        <v>6</v>
      </c>
      <c r="U533" s="2" t="n">
        <v>2</v>
      </c>
      <c r="V533" s="2" t="n">
        <v>2</v>
      </c>
      <c r="W533" s="2"/>
      <c r="X533" s="2" t="n">
        <v>0.32</v>
      </c>
      <c r="Y533" s="2" t="n">
        <v>2.1</v>
      </c>
      <c r="Z533" s="2" t="n">
        <v>0.8</v>
      </c>
      <c r="AA533" s="2" t="n">
        <v>15.4</v>
      </c>
      <c r="AB533" s="2" t="n">
        <v>11</v>
      </c>
      <c r="AC533" s="2" t="n">
        <v>9</v>
      </c>
      <c r="AD533" s="2" t="n">
        <v>0.5</v>
      </c>
      <c r="AE533" s="2" t="n">
        <v>3</v>
      </c>
      <c r="AF533" s="2" t="n">
        <v>11</v>
      </c>
      <c r="AG533" s="2" t="n">
        <v>68.9</v>
      </c>
      <c r="AH533" s="2" t="n">
        <v>0.3</v>
      </c>
      <c r="AI533" s="2" t="n">
        <v>45.5</v>
      </c>
      <c r="AJ533" s="2" t="n">
        <v>0.3</v>
      </c>
      <c r="AK533" s="2" t="n">
        <v>40</v>
      </c>
      <c r="AL533" s="2"/>
      <c r="AM533" s="2"/>
      <c r="AN533" s="2" t="n">
        <v>1.7</v>
      </c>
      <c r="AO533" s="2" t="n">
        <v>0.4</v>
      </c>
      <c r="AP533" s="2" t="n">
        <v>0.5</v>
      </c>
      <c r="AQ533" s="2" t="n">
        <v>0.7</v>
      </c>
      <c r="AR533" s="2" t="n">
        <v>0.1</v>
      </c>
      <c r="AS533" s="2" t="n">
        <v>2.1</v>
      </c>
      <c r="AT533" s="2" t="n">
        <v>0.6</v>
      </c>
      <c r="AU533" s="2" t="n">
        <v>1.1</v>
      </c>
      <c r="AV533" s="2" t="n">
        <v>1.6</v>
      </c>
      <c r="AW533" s="2" t="n">
        <v>3</v>
      </c>
      <c r="AX533" s="2" t="n">
        <v>1</v>
      </c>
      <c r="AY533" s="2"/>
      <c r="AZ533" s="2"/>
      <c r="BA533" s="2"/>
      <c r="BB533" s="2"/>
      <c r="BC533" s="2"/>
      <c r="BD533" s="4" t="s">
        <v>1906</v>
      </c>
    </row>
    <row r="534" customFormat="false" ht="15" hidden="false" customHeight="false" outlineLevel="0" collapsed="false">
      <c r="A534" s="2" t="n">
        <v>1367350</v>
      </c>
      <c r="B534" s="2" t="s">
        <v>1907</v>
      </c>
      <c r="C534" s="2" t="s">
        <v>1834</v>
      </c>
      <c r="D534" s="2" t="s">
        <v>58</v>
      </c>
      <c r="E534" s="2" t="s">
        <v>59</v>
      </c>
      <c r="F534" s="2" t="s">
        <v>137</v>
      </c>
      <c r="G534" s="2" t="s">
        <v>147</v>
      </c>
      <c r="H534" s="2" t="s">
        <v>147</v>
      </c>
      <c r="I534" s="2" t="n">
        <v>7</v>
      </c>
      <c r="J534" s="2" t="n">
        <v>28</v>
      </c>
      <c r="K534" s="2" t="s">
        <v>1908</v>
      </c>
      <c r="L534" s="2" t="s">
        <v>67</v>
      </c>
      <c r="M534" s="2" t="n">
        <v>185</v>
      </c>
      <c r="N534" s="3" t="n">
        <v>60620</v>
      </c>
      <c r="O534" s="2"/>
      <c r="P534" s="2" t="n">
        <v>25</v>
      </c>
      <c r="Q534" s="3" t="n">
        <v>1127</v>
      </c>
      <c r="R534" s="2" t="n">
        <v>6.47</v>
      </c>
      <c r="S534" s="2" t="n">
        <v>2</v>
      </c>
      <c r="T534" s="2" t="n">
        <v>7</v>
      </c>
      <c r="U534" s="2" t="n">
        <v>1</v>
      </c>
      <c r="V534" s="2" t="n">
        <v>1</v>
      </c>
      <c r="W534" s="2"/>
      <c r="X534" s="2" t="n">
        <v>0.56</v>
      </c>
      <c r="Y534" s="2" t="n">
        <v>2.4</v>
      </c>
      <c r="Z534" s="2" t="n">
        <v>0.9</v>
      </c>
      <c r="AA534" s="2" t="n">
        <v>23.3</v>
      </c>
      <c r="AB534" s="2" t="n">
        <v>1</v>
      </c>
      <c r="AC534" s="2" t="n">
        <v>9</v>
      </c>
      <c r="AD534" s="2" t="n">
        <v>0.7</v>
      </c>
      <c r="AE534" s="2" t="n">
        <v>2</v>
      </c>
      <c r="AF534" s="2" t="n">
        <v>7.8</v>
      </c>
      <c r="AG534" s="2" t="n">
        <v>50.3</v>
      </c>
      <c r="AH534" s="2"/>
      <c r="AI534" s="2"/>
      <c r="AJ534" s="2" t="n">
        <v>0.2</v>
      </c>
      <c r="AK534" s="2" t="n">
        <v>16.7</v>
      </c>
      <c r="AL534" s="2" t="n">
        <v>1</v>
      </c>
      <c r="AM534" s="2" t="n">
        <v>1.8</v>
      </c>
      <c r="AN534" s="2" t="n">
        <v>1.4</v>
      </c>
      <c r="AO534" s="2" t="n">
        <v>1</v>
      </c>
      <c r="AP534" s="2" t="n">
        <v>0.1</v>
      </c>
      <c r="AQ534" s="2" t="n">
        <v>0.3</v>
      </c>
      <c r="AR534" s="2"/>
      <c r="AS534" s="2" t="n">
        <v>1.7</v>
      </c>
      <c r="AT534" s="2" t="n">
        <v>0.2</v>
      </c>
      <c r="AU534" s="2" t="n">
        <v>1.3</v>
      </c>
      <c r="AV534" s="2" t="n">
        <v>2.6</v>
      </c>
      <c r="AW534" s="2" t="n">
        <v>4</v>
      </c>
      <c r="AX534" s="2"/>
      <c r="AY534" s="2"/>
      <c r="AZ534" s="2"/>
      <c r="BA534" s="2"/>
      <c r="BB534" s="2"/>
      <c r="BC534" s="2"/>
      <c r="BD534" s="4" t="s">
        <v>1909</v>
      </c>
    </row>
    <row r="535" customFormat="false" ht="15" hidden="false" customHeight="false" outlineLevel="0" collapsed="false">
      <c r="A535" s="2" t="n">
        <v>1919816</v>
      </c>
      <c r="B535" s="2" t="s">
        <v>1910</v>
      </c>
      <c r="C535" s="2" t="s">
        <v>1834</v>
      </c>
      <c r="D535" s="2" t="s">
        <v>58</v>
      </c>
      <c r="E535" s="2" t="s">
        <v>59</v>
      </c>
      <c r="F535" s="2" t="s">
        <v>137</v>
      </c>
      <c r="G535" s="2" t="s">
        <v>427</v>
      </c>
      <c r="H535" s="2" t="s">
        <v>427</v>
      </c>
      <c r="I535" s="2" t="n">
        <v>27</v>
      </c>
      <c r="J535" s="2" t="n">
        <v>19</v>
      </c>
      <c r="K535" s="2" t="s">
        <v>1911</v>
      </c>
      <c r="L535" s="2" t="s">
        <v>67</v>
      </c>
      <c r="M535" s="2" t="n">
        <v>183</v>
      </c>
      <c r="N535" s="3"/>
      <c r="O535" s="2"/>
      <c r="P535" s="2"/>
      <c r="Q535" s="3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4" t="s">
        <v>1912</v>
      </c>
    </row>
    <row r="536" customFormat="false" ht="15" hidden="false" customHeight="false" outlineLevel="0" collapsed="false">
      <c r="A536" s="2" t="n">
        <v>785824</v>
      </c>
      <c r="B536" s="2" t="s">
        <v>1913</v>
      </c>
      <c r="C536" s="2" t="s">
        <v>1914</v>
      </c>
      <c r="D536" s="2" t="s">
        <v>58</v>
      </c>
      <c r="E536" s="2" t="s">
        <v>59</v>
      </c>
      <c r="F536" s="2" t="s">
        <v>60</v>
      </c>
      <c r="G536" s="2" t="s">
        <v>61</v>
      </c>
      <c r="H536" s="2" t="s">
        <v>61</v>
      </c>
      <c r="I536" s="2" t="n">
        <v>1</v>
      </c>
      <c r="J536" s="2" t="n">
        <v>31</v>
      </c>
      <c r="K536" s="2" t="s">
        <v>1915</v>
      </c>
      <c r="L536" s="2" t="s">
        <v>319</v>
      </c>
      <c r="M536" s="2" t="n">
        <v>188</v>
      </c>
      <c r="N536" s="3" t="n">
        <v>72000</v>
      </c>
      <c r="O536" s="2"/>
      <c r="P536" s="2" t="n">
        <v>24</v>
      </c>
      <c r="Q536" s="3" t="n">
        <v>2151</v>
      </c>
      <c r="R536" s="2" t="n">
        <v>6.67</v>
      </c>
      <c r="S536" s="2" t="n">
        <v>1</v>
      </c>
      <c r="T536" s="2"/>
      <c r="U536" s="2"/>
      <c r="V536" s="2" t="n">
        <v>1</v>
      </c>
      <c r="W536" s="2"/>
      <c r="X536" s="2"/>
      <c r="Y536" s="2"/>
      <c r="Z536" s="2"/>
      <c r="AA536" s="2"/>
      <c r="AB536" s="2"/>
      <c r="AC536" s="2" t="n">
        <v>1</v>
      </c>
      <c r="AD536" s="2" t="n">
        <v>0</v>
      </c>
      <c r="AE536" s="2"/>
      <c r="AF536" s="2" t="n">
        <v>20</v>
      </c>
      <c r="AG536" s="2" t="n">
        <v>68.4</v>
      </c>
      <c r="AH536" s="2"/>
      <c r="AI536" s="2"/>
      <c r="AJ536" s="2" t="n">
        <v>0.1</v>
      </c>
      <c r="AK536" s="2" t="n">
        <v>100</v>
      </c>
      <c r="AL536" s="2"/>
      <c r="AM536" s="2"/>
      <c r="AN536" s="2" t="n">
        <v>1.5</v>
      </c>
      <c r="AO536" s="2" t="n">
        <v>0</v>
      </c>
      <c r="AP536" s="2"/>
      <c r="AQ536" s="2" t="n">
        <v>1.4</v>
      </c>
      <c r="AR536" s="2"/>
      <c r="AS536" s="2" t="n">
        <v>6.6</v>
      </c>
      <c r="AT536" s="2"/>
      <c r="AU536" s="2"/>
      <c r="AV536" s="2" t="n">
        <v>0</v>
      </c>
      <c r="AW536" s="2" t="n">
        <v>1</v>
      </c>
      <c r="AX536" s="2" t="n">
        <v>1</v>
      </c>
      <c r="AY536" s="2"/>
      <c r="AZ536" s="2" t="n">
        <v>6</v>
      </c>
      <c r="BA536" s="2" t="n">
        <v>2.2</v>
      </c>
      <c r="BB536" s="2" t="n">
        <v>66.3</v>
      </c>
      <c r="BC536" s="2" t="n">
        <v>1.1</v>
      </c>
      <c r="BD536" s="4" t="s">
        <v>1916</v>
      </c>
    </row>
    <row r="537" customFormat="false" ht="15" hidden="false" customHeight="false" outlineLevel="0" collapsed="false">
      <c r="A537" s="2" t="n">
        <v>1083221</v>
      </c>
      <c r="B537" s="2" t="s">
        <v>1917</v>
      </c>
      <c r="C537" s="2" t="s">
        <v>1914</v>
      </c>
      <c r="D537" s="2" t="s">
        <v>58</v>
      </c>
      <c r="E537" s="2" t="s">
        <v>59</v>
      </c>
      <c r="F537" s="2" t="s">
        <v>60</v>
      </c>
      <c r="G537" s="2" t="s">
        <v>61</v>
      </c>
      <c r="H537" s="2" t="s">
        <v>61</v>
      </c>
      <c r="I537" s="2" t="n">
        <v>29</v>
      </c>
      <c r="J537" s="2" t="n">
        <v>26</v>
      </c>
      <c r="K537" s="2" t="s">
        <v>1918</v>
      </c>
      <c r="L537" s="2" t="s">
        <v>67</v>
      </c>
      <c r="M537" s="2" t="n">
        <v>193</v>
      </c>
      <c r="N537" s="3" t="n">
        <v>50000</v>
      </c>
      <c r="O537" s="2"/>
      <c r="P537" s="2" t="n">
        <v>1</v>
      </c>
      <c r="Q537" s="3" t="n">
        <v>7</v>
      </c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4" t="s">
        <v>1919</v>
      </c>
    </row>
    <row r="538" customFormat="false" ht="15" hidden="false" customHeight="false" outlineLevel="0" collapsed="false">
      <c r="A538" s="2" t="n">
        <v>1366199</v>
      </c>
      <c r="B538" s="2" t="s">
        <v>1920</v>
      </c>
      <c r="C538" s="2" t="s">
        <v>1914</v>
      </c>
      <c r="D538" s="2" t="s">
        <v>58</v>
      </c>
      <c r="E538" s="2" t="s">
        <v>59</v>
      </c>
      <c r="F538" s="2" t="s">
        <v>60</v>
      </c>
      <c r="G538" s="2" t="s">
        <v>61</v>
      </c>
      <c r="H538" s="2" t="s">
        <v>61</v>
      </c>
      <c r="I538" s="2" t="n">
        <v>13</v>
      </c>
      <c r="J538" s="2" t="n">
        <v>28</v>
      </c>
      <c r="K538" s="2" t="s">
        <v>1921</v>
      </c>
      <c r="L538" s="2" t="s">
        <v>67</v>
      </c>
      <c r="M538" s="2" t="n">
        <v>188</v>
      </c>
      <c r="N538" s="3" t="n">
        <v>50000</v>
      </c>
      <c r="O538" s="2"/>
      <c r="P538" s="2"/>
      <c r="Q538" s="3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4" t="s">
        <v>1922</v>
      </c>
    </row>
    <row r="539" customFormat="false" ht="15" hidden="false" customHeight="false" outlineLevel="0" collapsed="false">
      <c r="A539" s="2" t="n">
        <v>1287564</v>
      </c>
      <c r="B539" s="2" t="s">
        <v>1923</v>
      </c>
      <c r="C539" s="2" t="s">
        <v>1914</v>
      </c>
      <c r="D539" s="2" t="s">
        <v>58</v>
      </c>
      <c r="E539" s="2" t="s">
        <v>59</v>
      </c>
      <c r="F539" s="2" t="s">
        <v>70</v>
      </c>
      <c r="G539" s="2" t="s">
        <v>75</v>
      </c>
      <c r="H539" s="2" t="s">
        <v>1924</v>
      </c>
      <c r="I539" s="2" t="n">
        <v>15</v>
      </c>
      <c r="J539" s="2" t="n">
        <v>25</v>
      </c>
      <c r="K539" s="2" t="s">
        <v>1925</v>
      </c>
      <c r="L539" s="2" t="s">
        <v>761</v>
      </c>
      <c r="M539" s="2" t="n">
        <v>191</v>
      </c>
      <c r="N539" s="3" t="n">
        <v>51249</v>
      </c>
      <c r="O539" s="2"/>
      <c r="P539" s="2" t="n">
        <v>24</v>
      </c>
      <c r="Q539" s="3" t="n">
        <v>1969</v>
      </c>
      <c r="R539" s="2" t="n">
        <v>7.27</v>
      </c>
      <c r="S539" s="2" t="n">
        <v>3</v>
      </c>
      <c r="T539" s="2" t="n">
        <v>1</v>
      </c>
      <c r="U539" s="2" t="n">
        <v>0</v>
      </c>
      <c r="V539" s="2"/>
      <c r="W539" s="2"/>
      <c r="X539" s="2" t="n">
        <v>0.05</v>
      </c>
      <c r="Y539" s="2" t="n">
        <v>0.6</v>
      </c>
      <c r="Z539" s="2" t="n">
        <v>0.2</v>
      </c>
      <c r="AA539" s="2" t="n">
        <v>7.1</v>
      </c>
      <c r="AB539" s="2"/>
      <c r="AC539" s="2" t="n">
        <v>17</v>
      </c>
      <c r="AD539" s="2" t="n">
        <v>0.8</v>
      </c>
      <c r="AE539" s="2" t="n">
        <v>2</v>
      </c>
      <c r="AF539" s="2" t="n">
        <v>36</v>
      </c>
      <c r="AG539" s="2" t="n">
        <v>82.1</v>
      </c>
      <c r="AH539" s="2" t="n">
        <v>2.1</v>
      </c>
      <c r="AI539" s="2" t="n">
        <v>39.5</v>
      </c>
      <c r="AJ539" s="2" t="n">
        <v>0.7</v>
      </c>
      <c r="AK539" s="2" t="n">
        <v>53.3</v>
      </c>
      <c r="AL539" s="2"/>
      <c r="AM539" s="2"/>
      <c r="AN539" s="2" t="n">
        <v>8.7</v>
      </c>
      <c r="AO539" s="2" t="n">
        <v>2.2</v>
      </c>
      <c r="AP539" s="2" t="n">
        <v>1.7</v>
      </c>
      <c r="AQ539" s="2" t="n">
        <v>4.1</v>
      </c>
      <c r="AR539" s="2" t="n">
        <v>0.7</v>
      </c>
      <c r="AS539" s="2" t="n">
        <v>4</v>
      </c>
      <c r="AT539" s="2" t="n">
        <v>0.1</v>
      </c>
      <c r="AU539" s="2" t="n">
        <v>1.6</v>
      </c>
      <c r="AV539" s="2" t="n">
        <v>1.1</v>
      </c>
      <c r="AW539" s="2" t="n">
        <v>4</v>
      </c>
      <c r="AX539" s="2"/>
      <c r="AY539" s="2"/>
      <c r="AZ539" s="2"/>
      <c r="BA539" s="2"/>
      <c r="BB539" s="2"/>
      <c r="BC539" s="2"/>
      <c r="BD539" s="4" t="s">
        <v>1926</v>
      </c>
    </row>
    <row r="540" customFormat="false" ht="15" hidden="false" customHeight="false" outlineLevel="0" collapsed="false">
      <c r="A540" s="2" t="n">
        <v>1042584</v>
      </c>
      <c r="B540" s="2" t="s">
        <v>1927</v>
      </c>
      <c r="C540" s="2" t="s">
        <v>1914</v>
      </c>
      <c r="D540" s="2" t="s">
        <v>58</v>
      </c>
      <c r="E540" s="2" t="s">
        <v>59</v>
      </c>
      <c r="F540" s="2" t="s">
        <v>70</v>
      </c>
      <c r="G540" s="2" t="s">
        <v>75</v>
      </c>
      <c r="H540" s="2" t="s">
        <v>1928</v>
      </c>
      <c r="I540" s="2" t="n">
        <v>5</v>
      </c>
      <c r="J540" s="2" t="n">
        <v>30</v>
      </c>
      <c r="K540" s="2" t="s">
        <v>456</v>
      </c>
      <c r="L540" s="2" t="s">
        <v>67</v>
      </c>
      <c r="M540" s="2" t="n">
        <v>188</v>
      </c>
      <c r="N540" s="3" t="n">
        <v>50000</v>
      </c>
      <c r="O540" s="2"/>
      <c r="P540" s="2" t="n">
        <v>23</v>
      </c>
      <c r="Q540" s="3" t="n">
        <v>1810</v>
      </c>
      <c r="R540" s="2" t="n">
        <v>6.65</v>
      </c>
      <c r="S540" s="2" t="n">
        <v>0</v>
      </c>
      <c r="T540" s="2" t="n">
        <v>1</v>
      </c>
      <c r="U540" s="2" t="n">
        <v>0</v>
      </c>
      <c r="V540" s="2"/>
      <c r="W540" s="2"/>
      <c r="X540" s="2" t="n">
        <v>0.05</v>
      </c>
      <c r="Y540" s="2" t="n">
        <v>0.4</v>
      </c>
      <c r="Z540" s="2" t="n">
        <v>0.1</v>
      </c>
      <c r="AA540" s="2" t="n">
        <v>11.1</v>
      </c>
      <c r="AB540" s="2" t="n">
        <v>1</v>
      </c>
      <c r="AC540" s="2" t="n">
        <v>6</v>
      </c>
      <c r="AD540" s="2" t="n">
        <v>0.3</v>
      </c>
      <c r="AE540" s="2" t="n">
        <v>1</v>
      </c>
      <c r="AF540" s="2" t="n">
        <v>36.9</v>
      </c>
      <c r="AG540" s="2" t="n">
        <v>82.9</v>
      </c>
      <c r="AH540" s="2" t="n">
        <v>3.5</v>
      </c>
      <c r="AI540" s="2" t="n">
        <v>44.9</v>
      </c>
      <c r="AJ540" s="2" t="n">
        <v>0</v>
      </c>
      <c r="AK540" s="2" t="n">
        <v>25</v>
      </c>
      <c r="AL540" s="2"/>
      <c r="AM540" s="2"/>
      <c r="AN540" s="2" t="n">
        <v>6.4</v>
      </c>
      <c r="AO540" s="2" t="n">
        <v>0.8</v>
      </c>
      <c r="AP540" s="2" t="n">
        <v>1</v>
      </c>
      <c r="AQ540" s="2" t="n">
        <v>4.1</v>
      </c>
      <c r="AR540" s="2" t="n">
        <v>0.5</v>
      </c>
      <c r="AS540" s="2" t="n">
        <v>2.6</v>
      </c>
      <c r="AT540" s="2" t="n">
        <v>0.1</v>
      </c>
      <c r="AU540" s="2" t="n">
        <v>0.8</v>
      </c>
      <c r="AV540" s="2" t="n">
        <v>1</v>
      </c>
      <c r="AW540" s="2" t="n">
        <v>1</v>
      </c>
      <c r="AX540" s="2"/>
      <c r="AY540" s="2" t="n">
        <v>1</v>
      </c>
      <c r="AZ540" s="2"/>
      <c r="BA540" s="2"/>
      <c r="BB540" s="2"/>
      <c r="BC540" s="2"/>
      <c r="BD540" s="4" t="s">
        <v>1929</v>
      </c>
    </row>
    <row r="541" customFormat="false" ht="15" hidden="false" customHeight="false" outlineLevel="0" collapsed="false">
      <c r="A541" s="2" t="n">
        <v>1082990</v>
      </c>
      <c r="B541" s="2" t="s">
        <v>1930</v>
      </c>
      <c r="C541" s="2" t="s">
        <v>1914</v>
      </c>
      <c r="D541" s="2" t="s">
        <v>58</v>
      </c>
      <c r="E541" s="2" t="s">
        <v>59</v>
      </c>
      <c r="F541" s="2" t="s">
        <v>70</v>
      </c>
      <c r="G541" s="2" t="s">
        <v>92</v>
      </c>
      <c r="H541" s="2" t="s">
        <v>276</v>
      </c>
      <c r="I541" s="2" t="n">
        <v>22</v>
      </c>
      <c r="J541" s="2" t="n">
        <v>25</v>
      </c>
      <c r="K541" s="2" t="s">
        <v>1931</v>
      </c>
      <c r="L541" s="2" t="s">
        <v>67</v>
      </c>
      <c r="M541" s="2" t="n">
        <v>180</v>
      </c>
      <c r="N541" s="3" t="n">
        <v>74096</v>
      </c>
      <c r="O541" s="2"/>
      <c r="P541" s="2" t="n">
        <v>22</v>
      </c>
      <c r="Q541" s="3" t="n">
        <v>1530</v>
      </c>
      <c r="R541" s="2" t="n">
        <v>7.01</v>
      </c>
      <c r="S541" s="2" t="n">
        <v>0</v>
      </c>
      <c r="T541" s="2" t="n">
        <v>1</v>
      </c>
      <c r="U541" s="2" t="n">
        <v>0</v>
      </c>
      <c r="V541" s="2" t="n">
        <v>3</v>
      </c>
      <c r="W541" s="2"/>
      <c r="X541" s="2" t="n">
        <v>0.06</v>
      </c>
      <c r="Y541" s="2" t="n">
        <v>1</v>
      </c>
      <c r="Z541" s="2" t="n">
        <v>0.4</v>
      </c>
      <c r="AA541" s="2" t="n">
        <v>5.9</v>
      </c>
      <c r="AB541" s="2"/>
      <c r="AC541" s="2" t="n">
        <v>15</v>
      </c>
      <c r="AD541" s="2" t="n">
        <v>0.9</v>
      </c>
      <c r="AE541" s="2" t="n">
        <v>1</v>
      </c>
      <c r="AF541" s="2" t="n">
        <v>29.4</v>
      </c>
      <c r="AG541" s="2" t="n">
        <v>78.3</v>
      </c>
      <c r="AH541" s="2" t="n">
        <v>1.6</v>
      </c>
      <c r="AI541" s="2" t="n">
        <v>30</v>
      </c>
      <c r="AJ541" s="2" t="n">
        <v>0.4</v>
      </c>
      <c r="AK541" s="2" t="n">
        <v>50</v>
      </c>
      <c r="AL541" s="2"/>
      <c r="AM541" s="2"/>
      <c r="AN541" s="2" t="n">
        <v>5.9</v>
      </c>
      <c r="AO541" s="2" t="n">
        <v>2</v>
      </c>
      <c r="AP541" s="2" t="n">
        <v>1.2</v>
      </c>
      <c r="AQ541" s="2" t="n">
        <v>2.4</v>
      </c>
      <c r="AR541" s="2" t="n">
        <v>0.3</v>
      </c>
      <c r="AS541" s="2" t="n">
        <v>3.2</v>
      </c>
      <c r="AT541" s="2" t="n">
        <v>0.2</v>
      </c>
      <c r="AU541" s="2" t="n">
        <v>1.2</v>
      </c>
      <c r="AV541" s="2" t="n">
        <v>0.6</v>
      </c>
      <c r="AW541" s="2"/>
      <c r="AX541" s="2"/>
      <c r="AY541" s="2" t="n">
        <v>1</v>
      </c>
      <c r="AZ541" s="2"/>
      <c r="BA541" s="2"/>
      <c r="BB541" s="2"/>
      <c r="BC541" s="2"/>
      <c r="BD541" s="4" t="s">
        <v>1932</v>
      </c>
    </row>
    <row r="542" customFormat="false" ht="15" hidden="false" customHeight="false" outlineLevel="0" collapsed="false">
      <c r="A542" s="2" t="n">
        <v>1058360</v>
      </c>
      <c r="B542" s="2" t="s">
        <v>1933</v>
      </c>
      <c r="C542" s="2" t="s">
        <v>1914</v>
      </c>
      <c r="D542" s="2" t="s">
        <v>58</v>
      </c>
      <c r="E542" s="2" t="s">
        <v>59</v>
      </c>
      <c r="F542" s="2" t="s">
        <v>70</v>
      </c>
      <c r="G542" s="2" t="s">
        <v>75</v>
      </c>
      <c r="H542" s="2" t="s">
        <v>75</v>
      </c>
      <c r="I542" s="2" t="n">
        <v>24</v>
      </c>
      <c r="J542" s="2" t="n">
        <v>26</v>
      </c>
      <c r="K542" s="2" t="s">
        <v>1934</v>
      </c>
      <c r="L542" s="2" t="s">
        <v>116</v>
      </c>
      <c r="M542" s="2" t="n">
        <v>191</v>
      </c>
      <c r="N542" s="3" t="n">
        <v>85016</v>
      </c>
      <c r="O542" s="2"/>
      <c r="P542" s="2" t="n">
        <v>17</v>
      </c>
      <c r="Q542" s="3" t="n">
        <v>1420</v>
      </c>
      <c r="R542" s="2" t="n">
        <v>6.79</v>
      </c>
      <c r="S542" s="2" t="n">
        <v>0</v>
      </c>
      <c r="T542" s="2" t="n">
        <v>1</v>
      </c>
      <c r="U542" s="2" t="n">
        <v>0</v>
      </c>
      <c r="V542" s="2"/>
      <c r="W542" s="2"/>
      <c r="X542" s="2" t="n">
        <v>0.06</v>
      </c>
      <c r="Y542" s="2" t="n">
        <v>0.2</v>
      </c>
      <c r="Z542" s="2" t="n">
        <v>0.1</v>
      </c>
      <c r="AA542" s="2" t="n">
        <v>33.3</v>
      </c>
      <c r="AB542" s="2"/>
      <c r="AC542" s="2" t="n">
        <v>5</v>
      </c>
      <c r="AD542" s="2" t="n">
        <v>0.3</v>
      </c>
      <c r="AE542" s="2"/>
      <c r="AF542" s="2" t="n">
        <v>35.2</v>
      </c>
      <c r="AG542" s="2" t="n">
        <v>88.4</v>
      </c>
      <c r="AH542" s="2" t="n">
        <v>2.7</v>
      </c>
      <c r="AI542" s="2" t="n">
        <v>57.5</v>
      </c>
      <c r="AJ542" s="2" t="n">
        <v>0.2</v>
      </c>
      <c r="AK542" s="2" t="n">
        <v>100</v>
      </c>
      <c r="AL542" s="2"/>
      <c r="AM542" s="2"/>
      <c r="AN542" s="2" t="n">
        <v>7.2</v>
      </c>
      <c r="AO542" s="2" t="n">
        <v>0.8</v>
      </c>
      <c r="AP542" s="2" t="n">
        <v>1.6</v>
      </c>
      <c r="AQ542" s="2" t="n">
        <v>4.4</v>
      </c>
      <c r="AR542" s="2" t="n">
        <v>0.5</v>
      </c>
      <c r="AS542" s="2" t="n">
        <v>2.2</v>
      </c>
      <c r="AT542" s="2"/>
      <c r="AU542" s="2"/>
      <c r="AV542" s="2" t="n">
        <v>1.5</v>
      </c>
      <c r="AW542" s="2" t="n">
        <v>2</v>
      </c>
      <c r="AX542" s="2"/>
      <c r="AY542" s="2"/>
      <c r="AZ542" s="2"/>
      <c r="BA542" s="2"/>
      <c r="BB542" s="2"/>
      <c r="BC542" s="2"/>
      <c r="BD542" s="4" t="s">
        <v>1935</v>
      </c>
    </row>
    <row r="543" customFormat="false" ht="15" hidden="false" customHeight="false" outlineLevel="0" collapsed="false">
      <c r="A543" s="2" t="n">
        <v>1448501</v>
      </c>
      <c r="B543" s="2" t="s">
        <v>1936</v>
      </c>
      <c r="C543" s="2" t="s">
        <v>1914</v>
      </c>
      <c r="D543" s="2" t="s">
        <v>58</v>
      </c>
      <c r="E543" s="2" t="s">
        <v>59</v>
      </c>
      <c r="F543" s="2" t="s">
        <v>70</v>
      </c>
      <c r="G543" s="2" t="s">
        <v>71</v>
      </c>
      <c r="H543" s="2" t="s">
        <v>1937</v>
      </c>
      <c r="I543" s="2" t="n">
        <v>3</v>
      </c>
      <c r="J543" s="2" t="n">
        <v>24</v>
      </c>
      <c r="K543" s="2" t="s">
        <v>971</v>
      </c>
      <c r="L543" s="2" t="s">
        <v>67</v>
      </c>
      <c r="M543" s="2" t="n">
        <v>173</v>
      </c>
      <c r="N543" s="3" t="n">
        <v>197499</v>
      </c>
      <c r="O543" s="2"/>
      <c r="P543" s="2" t="n">
        <v>22</v>
      </c>
      <c r="Q543" s="3" t="n">
        <v>1371</v>
      </c>
      <c r="R543" s="2" t="n">
        <v>6.74</v>
      </c>
      <c r="S543" s="2" t="n">
        <v>0</v>
      </c>
      <c r="T543" s="2" t="n">
        <v>1</v>
      </c>
      <c r="U543" s="2" t="n">
        <v>0</v>
      </c>
      <c r="V543" s="2"/>
      <c r="W543" s="2"/>
      <c r="X543" s="2" t="n">
        <v>0.07</v>
      </c>
      <c r="Y543" s="2" t="n">
        <v>0.1</v>
      </c>
      <c r="Z543" s="2" t="n">
        <v>0.1</v>
      </c>
      <c r="AA543" s="2" t="n">
        <v>50</v>
      </c>
      <c r="AB543" s="2"/>
      <c r="AC543" s="2" t="n">
        <v>7</v>
      </c>
      <c r="AD543" s="2" t="n">
        <v>0.5</v>
      </c>
      <c r="AE543" s="2" t="n">
        <v>1</v>
      </c>
      <c r="AF543" s="2" t="n">
        <v>26.5</v>
      </c>
      <c r="AG543" s="2" t="n">
        <v>79.4</v>
      </c>
      <c r="AH543" s="2" t="n">
        <v>1.4</v>
      </c>
      <c r="AI543" s="2" t="n">
        <v>29.2</v>
      </c>
      <c r="AJ543" s="2" t="n">
        <v>0.5</v>
      </c>
      <c r="AK543" s="2" t="n">
        <v>70</v>
      </c>
      <c r="AL543" s="2"/>
      <c r="AM543" s="2"/>
      <c r="AN543" s="2" t="n">
        <v>4.1</v>
      </c>
      <c r="AO543" s="2" t="n">
        <v>2</v>
      </c>
      <c r="AP543" s="2" t="n">
        <v>0.5</v>
      </c>
      <c r="AQ543" s="2" t="n">
        <v>1.4</v>
      </c>
      <c r="AR543" s="2" t="n">
        <v>0.1</v>
      </c>
      <c r="AS543" s="2" t="n">
        <v>3.2</v>
      </c>
      <c r="AT543" s="2" t="n">
        <v>0.3</v>
      </c>
      <c r="AU543" s="2" t="n">
        <v>1.2</v>
      </c>
      <c r="AV543" s="2" t="n">
        <v>0.7</v>
      </c>
      <c r="AW543" s="2" t="n">
        <v>4</v>
      </c>
      <c r="AX543" s="2"/>
      <c r="AY543" s="2"/>
      <c r="AZ543" s="2"/>
      <c r="BA543" s="2"/>
      <c r="BB543" s="2"/>
      <c r="BC543" s="2"/>
      <c r="BD543" s="4" t="s">
        <v>1938</v>
      </c>
    </row>
    <row r="544" customFormat="false" ht="15" hidden="false" customHeight="false" outlineLevel="0" collapsed="false">
      <c r="A544" s="2" t="n">
        <v>1082967</v>
      </c>
      <c r="B544" s="2" t="s">
        <v>1939</v>
      </c>
      <c r="C544" s="2" t="s">
        <v>1914</v>
      </c>
      <c r="D544" s="2" t="s">
        <v>58</v>
      </c>
      <c r="E544" s="2" t="s">
        <v>59</v>
      </c>
      <c r="F544" s="2" t="s">
        <v>70</v>
      </c>
      <c r="G544" s="2" t="s">
        <v>92</v>
      </c>
      <c r="H544" s="2" t="s">
        <v>92</v>
      </c>
      <c r="I544" s="2" t="n">
        <v>2</v>
      </c>
      <c r="J544" s="2" t="n">
        <v>29</v>
      </c>
      <c r="K544" s="2" t="s">
        <v>1940</v>
      </c>
      <c r="L544" s="2" t="s">
        <v>337</v>
      </c>
      <c r="M544" s="2" t="n">
        <v>175</v>
      </c>
      <c r="N544" s="3" t="n">
        <v>50000</v>
      </c>
      <c r="O544" s="2"/>
      <c r="P544" s="2" t="n">
        <v>9</v>
      </c>
      <c r="Q544" s="3" t="n">
        <v>79</v>
      </c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 t="n">
        <v>1</v>
      </c>
      <c r="AD544" s="2" t="n">
        <v>1.1</v>
      </c>
      <c r="AE544" s="2" t="n">
        <v>1</v>
      </c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 t="n">
        <v>1</v>
      </c>
      <c r="AX544" s="2"/>
      <c r="AY544" s="2"/>
      <c r="AZ544" s="2"/>
      <c r="BA544" s="2"/>
      <c r="BB544" s="2"/>
      <c r="BC544" s="2"/>
      <c r="BD544" s="4" t="s">
        <v>1941</v>
      </c>
    </row>
    <row r="545" customFormat="false" ht="15" hidden="false" customHeight="false" outlineLevel="0" collapsed="false">
      <c r="A545" s="2" t="n">
        <v>1928321</v>
      </c>
      <c r="B545" s="2" t="s">
        <v>1942</v>
      </c>
      <c r="C545" s="2" t="s">
        <v>1914</v>
      </c>
      <c r="D545" s="2" t="s">
        <v>58</v>
      </c>
      <c r="E545" s="2" t="s">
        <v>59</v>
      </c>
      <c r="F545" s="2" t="s">
        <v>70</v>
      </c>
      <c r="G545" s="2" t="s">
        <v>75</v>
      </c>
      <c r="H545" s="2" t="s">
        <v>75</v>
      </c>
      <c r="I545" s="2" t="n">
        <v>25</v>
      </c>
      <c r="J545" s="2" t="n">
        <v>22</v>
      </c>
      <c r="K545" s="2" t="s">
        <v>1943</v>
      </c>
      <c r="L545" s="2" t="s">
        <v>67</v>
      </c>
      <c r="M545" s="2" t="n">
        <v>191</v>
      </c>
      <c r="N545" s="3"/>
      <c r="O545" s="2"/>
      <c r="P545" s="2" t="n">
        <v>3</v>
      </c>
      <c r="Q545" s="3" t="n">
        <v>32</v>
      </c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4" t="s">
        <v>1944</v>
      </c>
    </row>
    <row r="546" customFormat="false" ht="15" hidden="false" customHeight="false" outlineLevel="0" collapsed="false">
      <c r="A546" s="2" t="n">
        <v>1516692</v>
      </c>
      <c r="B546" s="2" t="s">
        <v>1945</v>
      </c>
      <c r="C546" s="2" t="s">
        <v>1914</v>
      </c>
      <c r="D546" s="2" t="s">
        <v>58</v>
      </c>
      <c r="E546" s="2" t="s">
        <v>59</v>
      </c>
      <c r="F546" s="2" t="s">
        <v>102</v>
      </c>
      <c r="G546" s="2" t="s">
        <v>103</v>
      </c>
      <c r="H546" s="2" t="s">
        <v>123</v>
      </c>
      <c r="I546" s="2" t="n">
        <v>4</v>
      </c>
      <c r="J546" s="2" t="n">
        <v>25</v>
      </c>
      <c r="K546" s="2" t="s">
        <v>1946</v>
      </c>
      <c r="L546" s="2" t="s">
        <v>319</v>
      </c>
      <c r="M546" s="2" t="n">
        <v>193</v>
      </c>
      <c r="N546" s="3" t="n">
        <v>119258</v>
      </c>
      <c r="O546" s="2"/>
      <c r="P546" s="2" t="n">
        <v>21</v>
      </c>
      <c r="Q546" s="3" t="n">
        <v>1649</v>
      </c>
      <c r="R546" s="2" t="n">
        <v>7.2</v>
      </c>
      <c r="S546" s="2" t="n">
        <v>1</v>
      </c>
      <c r="T546" s="2" t="n">
        <v>3</v>
      </c>
      <c r="U546" s="2" t="n">
        <v>0</v>
      </c>
      <c r="V546" s="2" t="n">
        <v>1</v>
      </c>
      <c r="W546" s="2"/>
      <c r="X546" s="2" t="n">
        <v>0.16</v>
      </c>
      <c r="Y546" s="2" t="n">
        <v>1.3</v>
      </c>
      <c r="Z546" s="2" t="n">
        <v>0.4</v>
      </c>
      <c r="AA546" s="2" t="n">
        <v>13</v>
      </c>
      <c r="AB546" s="2" t="n">
        <v>2</v>
      </c>
      <c r="AC546" s="2" t="n">
        <v>17</v>
      </c>
      <c r="AD546" s="2" t="n">
        <v>0.9</v>
      </c>
      <c r="AE546" s="2" t="n">
        <v>1</v>
      </c>
      <c r="AF546" s="2" t="n">
        <v>32</v>
      </c>
      <c r="AG546" s="2" t="n">
        <v>76.9</v>
      </c>
      <c r="AH546" s="2" t="n">
        <v>1.9</v>
      </c>
      <c r="AI546" s="2" t="n">
        <v>51.5</v>
      </c>
      <c r="AJ546" s="2" t="n">
        <v>0.6</v>
      </c>
      <c r="AK546" s="2" t="n">
        <v>61.1</v>
      </c>
      <c r="AL546" s="2"/>
      <c r="AM546" s="2"/>
      <c r="AN546" s="2" t="n">
        <v>6.9</v>
      </c>
      <c r="AO546" s="2" t="n">
        <v>2.5</v>
      </c>
      <c r="AP546" s="2" t="n">
        <v>1.6</v>
      </c>
      <c r="AQ546" s="2" t="n">
        <v>2.3</v>
      </c>
      <c r="AR546" s="2" t="n">
        <v>0.4</v>
      </c>
      <c r="AS546" s="2" t="n">
        <v>4.4</v>
      </c>
      <c r="AT546" s="2" t="n">
        <v>0.1</v>
      </c>
      <c r="AU546" s="2" t="n">
        <v>2.7</v>
      </c>
      <c r="AV546" s="2" t="n">
        <v>2.3</v>
      </c>
      <c r="AW546" s="2" t="n">
        <v>8</v>
      </c>
      <c r="AX546" s="2" t="n">
        <v>1</v>
      </c>
      <c r="AY546" s="2"/>
      <c r="AZ546" s="2"/>
      <c r="BA546" s="2"/>
      <c r="BB546" s="2"/>
      <c r="BC546" s="2"/>
      <c r="BD546" s="4" t="s">
        <v>1947</v>
      </c>
    </row>
    <row r="547" customFormat="false" ht="15" hidden="false" customHeight="false" outlineLevel="0" collapsed="false">
      <c r="A547" s="2" t="n">
        <v>1479926</v>
      </c>
      <c r="B547" s="2" t="s">
        <v>1948</v>
      </c>
      <c r="C547" s="2" t="s">
        <v>1914</v>
      </c>
      <c r="D547" s="2" t="s">
        <v>58</v>
      </c>
      <c r="E547" s="2" t="s">
        <v>59</v>
      </c>
      <c r="F547" s="2" t="s">
        <v>102</v>
      </c>
      <c r="G547" s="2" t="s">
        <v>103</v>
      </c>
      <c r="H547" s="2" t="s">
        <v>1949</v>
      </c>
      <c r="I547" s="2" t="n">
        <v>77</v>
      </c>
      <c r="J547" s="2" t="n">
        <v>26</v>
      </c>
      <c r="K547" s="2" t="s">
        <v>1950</v>
      </c>
      <c r="L547" s="2" t="s">
        <v>67</v>
      </c>
      <c r="M547" s="2" t="n">
        <v>175</v>
      </c>
      <c r="N547" s="3" t="n">
        <v>110880</v>
      </c>
      <c r="O547" s="2"/>
      <c r="P547" s="2" t="n">
        <v>19</v>
      </c>
      <c r="Q547" s="3" t="n">
        <v>1366</v>
      </c>
      <c r="R547" s="2" t="n">
        <v>7.21</v>
      </c>
      <c r="S547" s="2" t="n">
        <v>1</v>
      </c>
      <c r="T547" s="2"/>
      <c r="U547" s="2"/>
      <c r="V547" s="2" t="n">
        <v>3</v>
      </c>
      <c r="W547" s="2"/>
      <c r="X547" s="2"/>
      <c r="Y547" s="2" t="n">
        <v>1.1</v>
      </c>
      <c r="Z547" s="2" t="n">
        <v>0.1</v>
      </c>
      <c r="AA547" s="2" t="n">
        <v>0</v>
      </c>
      <c r="AB547" s="2" t="n">
        <v>1</v>
      </c>
      <c r="AC547" s="2" t="n">
        <v>26</v>
      </c>
      <c r="AD547" s="2" t="n">
        <v>1.7</v>
      </c>
      <c r="AE547" s="2" t="n">
        <v>6</v>
      </c>
      <c r="AF547" s="2" t="n">
        <v>29.4</v>
      </c>
      <c r="AG547" s="2" t="n">
        <v>78.7</v>
      </c>
      <c r="AH547" s="2" t="n">
        <v>2.6</v>
      </c>
      <c r="AI547" s="2" t="n">
        <v>47.6</v>
      </c>
      <c r="AJ547" s="2" t="n">
        <v>0.7</v>
      </c>
      <c r="AK547" s="2" t="n">
        <v>52.6</v>
      </c>
      <c r="AL547" s="2"/>
      <c r="AM547" s="2"/>
      <c r="AN547" s="2" t="n">
        <v>4.9</v>
      </c>
      <c r="AO547" s="2" t="n">
        <v>3.1</v>
      </c>
      <c r="AP547" s="2" t="n">
        <v>1.1</v>
      </c>
      <c r="AQ547" s="2" t="n">
        <v>0.7</v>
      </c>
      <c r="AR547" s="2"/>
      <c r="AS547" s="2" t="n">
        <v>5.5</v>
      </c>
      <c r="AT547" s="2" t="n">
        <v>0.6</v>
      </c>
      <c r="AU547" s="2" t="n">
        <v>3.5</v>
      </c>
      <c r="AV547" s="2" t="n">
        <v>1.7</v>
      </c>
      <c r="AW547" s="2" t="n">
        <v>4</v>
      </c>
      <c r="AX547" s="2"/>
      <c r="AY547" s="2"/>
      <c r="AZ547" s="2"/>
      <c r="BA547" s="2"/>
      <c r="BB547" s="2"/>
      <c r="BC547" s="2"/>
      <c r="BD547" s="4" t="s">
        <v>1951</v>
      </c>
    </row>
    <row r="548" customFormat="false" ht="15" hidden="false" customHeight="false" outlineLevel="0" collapsed="false">
      <c r="A548" s="2" t="n">
        <v>1257379</v>
      </c>
      <c r="B548" s="2" t="s">
        <v>1952</v>
      </c>
      <c r="C548" s="2" t="s">
        <v>1914</v>
      </c>
      <c r="D548" s="2" t="s">
        <v>58</v>
      </c>
      <c r="E548" s="2" t="s">
        <v>59</v>
      </c>
      <c r="F548" s="2" t="s">
        <v>102</v>
      </c>
      <c r="G548" s="2" t="s">
        <v>113</v>
      </c>
      <c r="H548" s="2" t="s">
        <v>212</v>
      </c>
      <c r="I548" s="2" t="n">
        <v>10</v>
      </c>
      <c r="J548" s="2" t="n">
        <v>22</v>
      </c>
      <c r="K548" s="2" t="s">
        <v>1953</v>
      </c>
      <c r="L548" s="2" t="s">
        <v>808</v>
      </c>
      <c r="M548" s="2" t="n">
        <v>169</v>
      </c>
      <c r="N548" s="3"/>
      <c r="O548" s="2"/>
      <c r="P548" s="2" t="n">
        <v>21</v>
      </c>
      <c r="Q548" s="3" t="n">
        <v>1128</v>
      </c>
      <c r="R548" s="2" t="n">
        <v>6.56</v>
      </c>
      <c r="S548" s="2" t="n">
        <v>0</v>
      </c>
      <c r="T548" s="2"/>
      <c r="U548" s="2"/>
      <c r="V548" s="2" t="n">
        <v>2</v>
      </c>
      <c r="W548" s="2"/>
      <c r="X548" s="2"/>
      <c r="Y548" s="2" t="n">
        <v>2.6</v>
      </c>
      <c r="Z548" s="2" t="n">
        <v>0.6</v>
      </c>
      <c r="AA548" s="2" t="n">
        <v>0</v>
      </c>
      <c r="AB548" s="2" t="n">
        <v>3</v>
      </c>
      <c r="AC548" s="2" t="n">
        <v>23</v>
      </c>
      <c r="AD548" s="2" t="n">
        <v>1.8</v>
      </c>
      <c r="AE548" s="2" t="n">
        <v>2</v>
      </c>
      <c r="AF548" s="2" t="n">
        <v>20.3</v>
      </c>
      <c r="AG548" s="2" t="n">
        <v>76</v>
      </c>
      <c r="AH548" s="2" t="n">
        <v>1.1</v>
      </c>
      <c r="AI548" s="2" t="n">
        <v>51.9</v>
      </c>
      <c r="AJ548" s="2" t="n">
        <v>0.9</v>
      </c>
      <c r="AK548" s="2" t="n">
        <v>39.3</v>
      </c>
      <c r="AL548" s="2"/>
      <c r="AM548" s="2"/>
      <c r="AN548" s="2" t="n">
        <v>2.9</v>
      </c>
      <c r="AO548" s="2" t="n">
        <v>1.5</v>
      </c>
      <c r="AP548" s="2" t="n">
        <v>1</v>
      </c>
      <c r="AQ548" s="2" t="n">
        <v>0.2</v>
      </c>
      <c r="AR548" s="2" t="n">
        <v>0.1</v>
      </c>
      <c r="AS548" s="2" t="n">
        <v>4.5</v>
      </c>
      <c r="AT548" s="2" t="n">
        <v>0.9</v>
      </c>
      <c r="AU548" s="2" t="n">
        <v>2.7</v>
      </c>
      <c r="AV548" s="2" t="n">
        <v>2.2</v>
      </c>
      <c r="AW548" s="2" t="n">
        <v>3</v>
      </c>
      <c r="AX548" s="2"/>
      <c r="AY548" s="2"/>
      <c r="AZ548" s="2"/>
      <c r="BA548" s="2"/>
      <c r="BB548" s="2"/>
      <c r="BC548" s="2"/>
      <c r="BD548" s="4" t="s">
        <v>1954</v>
      </c>
    </row>
    <row r="549" customFormat="false" ht="15" hidden="false" customHeight="false" outlineLevel="0" collapsed="false">
      <c r="A549" s="2" t="n">
        <v>1199737</v>
      </c>
      <c r="B549" s="2" t="s">
        <v>1955</v>
      </c>
      <c r="C549" s="2" t="s">
        <v>1914</v>
      </c>
      <c r="D549" s="2" t="s">
        <v>58</v>
      </c>
      <c r="E549" s="2" t="s">
        <v>59</v>
      </c>
      <c r="F549" s="2" t="s">
        <v>102</v>
      </c>
      <c r="G549" s="2" t="s">
        <v>138</v>
      </c>
      <c r="H549" s="2" t="s">
        <v>1956</v>
      </c>
      <c r="I549" s="2" t="n">
        <v>11</v>
      </c>
      <c r="J549" s="2" t="n">
        <v>26</v>
      </c>
      <c r="K549" s="2" t="s">
        <v>367</v>
      </c>
      <c r="L549" s="2" t="s">
        <v>67</v>
      </c>
      <c r="M549" s="2" t="n">
        <v>191</v>
      </c>
      <c r="N549" s="3" t="n">
        <v>62589</v>
      </c>
      <c r="O549" s="2"/>
      <c r="P549" s="2" t="n">
        <v>20</v>
      </c>
      <c r="Q549" s="3" t="n">
        <v>753</v>
      </c>
      <c r="R549" s="2" t="n">
        <v>6.54</v>
      </c>
      <c r="S549" s="2" t="n">
        <v>0</v>
      </c>
      <c r="T549" s="2"/>
      <c r="U549" s="2"/>
      <c r="V549" s="2" t="n">
        <v>4</v>
      </c>
      <c r="W549" s="2"/>
      <c r="X549" s="2"/>
      <c r="Y549" s="2" t="n">
        <v>2.2</v>
      </c>
      <c r="Z549" s="2" t="n">
        <v>0.6</v>
      </c>
      <c r="AA549" s="2" t="n">
        <v>0</v>
      </c>
      <c r="AB549" s="2"/>
      <c r="AC549" s="2" t="n">
        <v>18</v>
      </c>
      <c r="AD549" s="2" t="n">
        <v>2.2</v>
      </c>
      <c r="AE549" s="2" t="n">
        <v>3</v>
      </c>
      <c r="AF549" s="2" t="n">
        <v>21.5</v>
      </c>
      <c r="AG549" s="2" t="n">
        <v>75.6</v>
      </c>
      <c r="AH549" s="2" t="n">
        <v>0.7</v>
      </c>
      <c r="AI549" s="2" t="n">
        <v>37.5</v>
      </c>
      <c r="AJ549" s="2" t="n">
        <v>0.5</v>
      </c>
      <c r="AK549" s="2" t="n">
        <v>40</v>
      </c>
      <c r="AL549" s="2"/>
      <c r="AM549" s="2"/>
      <c r="AN549" s="2" t="n">
        <v>3.1</v>
      </c>
      <c r="AO549" s="2" t="n">
        <v>1.8</v>
      </c>
      <c r="AP549" s="2" t="n">
        <v>0.4</v>
      </c>
      <c r="AQ549" s="2" t="n">
        <v>0.8</v>
      </c>
      <c r="AR549" s="2" t="n">
        <v>0.1</v>
      </c>
      <c r="AS549" s="2" t="n">
        <v>4.2</v>
      </c>
      <c r="AT549" s="2" t="n">
        <v>0.5</v>
      </c>
      <c r="AU549" s="2" t="n">
        <v>2.2</v>
      </c>
      <c r="AV549" s="2" t="n">
        <v>1.2</v>
      </c>
      <c r="AW549" s="2" t="n">
        <v>2</v>
      </c>
      <c r="AX549" s="2"/>
      <c r="AY549" s="2"/>
      <c r="AZ549" s="2"/>
      <c r="BA549" s="2"/>
      <c r="BB549" s="2"/>
      <c r="BC549" s="2"/>
      <c r="BD549" s="4" t="s">
        <v>1957</v>
      </c>
    </row>
    <row r="550" customFormat="false" ht="15" hidden="false" customHeight="false" outlineLevel="0" collapsed="false">
      <c r="A550" s="2" t="n">
        <v>1348492</v>
      </c>
      <c r="B550" s="2" t="s">
        <v>1958</v>
      </c>
      <c r="C550" s="2" t="s">
        <v>1914</v>
      </c>
      <c r="D550" s="2" t="s">
        <v>58</v>
      </c>
      <c r="E550" s="2" t="s">
        <v>59</v>
      </c>
      <c r="F550" s="2" t="s">
        <v>102</v>
      </c>
      <c r="G550" s="2" t="s">
        <v>427</v>
      </c>
      <c r="H550" s="2" t="s">
        <v>427</v>
      </c>
      <c r="I550" s="2" t="n">
        <v>7</v>
      </c>
      <c r="J550" s="2" t="n">
        <v>24</v>
      </c>
      <c r="K550" s="2" t="s">
        <v>1959</v>
      </c>
      <c r="L550" s="2" t="s">
        <v>85</v>
      </c>
      <c r="M550" s="2" t="n">
        <v>176</v>
      </c>
      <c r="N550" s="3" t="n">
        <v>50000</v>
      </c>
      <c r="O550" s="2"/>
      <c r="P550" s="2" t="n">
        <v>19</v>
      </c>
      <c r="Q550" s="3" t="n">
        <v>301</v>
      </c>
      <c r="R550" s="2" t="n">
        <v>6.45</v>
      </c>
      <c r="S550" s="2" t="n">
        <v>0</v>
      </c>
      <c r="T550" s="2" t="n">
        <v>3</v>
      </c>
      <c r="U550" s="2" t="n">
        <v>1</v>
      </c>
      <c r="V550" s="2"/>
      <c r="W550" s="2"/>
      <c r="X550" s="2" t="n">
        <v>0.9</v>
      </c>
      <c r="Y550" s="2" t="n">
        <v>3.9</v>
      </c>
      <c r="Z550" s="2" t="n">
        <v>1.8</v>
      </c>
      <c r="AA550" s="2" t="n">
        <v>23.1</v>
      </c>
      <c r="AB550" s="2" t="n">
        <v>1</v>
      </c>
      <c r="AC550" s="2" t="n">
        <v>6</v>
      </c>
      <c r="AD550" s="2" t="n">
        <v>1.8</v>
      </c>
      <c r="AE550" s="2"/>
      <c r="AF550" s="2" t="n">
        <v>36.8</v>
      </c>
      <c r="AG550" s="2" t="n">
        <v>77.8</v>
      </c>
      <c r="AH550" s="2" t="n">
        <v>2.4</v>
      </c>
      <c r="AI550" s="2" t="n">
        <v>57.1</v>
      </c>
      <c r="AJ550" s="2" t="n">
        <v>1.5</v>
      </c>
      <c r="AK550" s="2" t="n">
        <v>50</v>
      </c>
      <c r="AL550" s="2"/>
      <c r="AM550" s="2"/>
      <c r="AN550" s="2" t="n">
        <v>5.1</v>
      </c>
      <c r="AO550" s="2" t="n">
        <v>3</v>
      </c>
      <c r="AP550" s="2" t="n">
        <v>1.2</v>
      </c>
      <c r="AQ550" s="2" t="n">
        <v>0.9</v>
      </c>
      <c r="AR550" s="2"/>
      <c r="AS550" s="2" t="n">
        <v>6</v>
      </c>
      <c r="AT550" s="2" t="n">
        <v>0.3</v>
      </c>
      <c r="AU550" s="2" t="n">
        <v>4.2</v>
      </c>
      <c r="AV550" s="2" t="n">
        <v>2.1</v>
      </c>
      <c r="AW550" s="2" t="n">
        <v>1</v>
      </c>
      <c r="AX550" s="2"/>
      <c r="AY550" s="2"/>
      <c r="AZ550" s="2"/>
      <c r="BA550" s="2"/>
      <c r="BB550" s="2"/>
      <c r="BC550" s="2"/>
      <c r="BD550" s="4" t="s">
        <v>1960</v>
      </c>
    </row>
    <row r="551" customFormat="false" ht="15" hidden="false" customHeight="false" outlineLevel="0" collapsed="false">
      <c r="A551" s="2" t="n">
        <v>729986</v>
      </c>
      <c r="B551" s="2" t="s">
        <v>1961</v>
      </c>
      <c r="C551" s="2" t="s">
        <v>1914</v>
      </c>
      <c r="D551" s="2" t="s">
        <v>58</v>
      </c>
      <c r="E551" s="2" t="s">
        <v>59</v>
      </c>
      <c r="F551" s="2" t="s">
        <v>102</v>
      </c>
      <c r="G551" s="2" t="s">
        <v>103</v>
      </c>
      <c r="H551" s="2" t="s">
        <v>123</v>
      </c>
      <c r="I551" s="2" t="n">
        <v>21</v>
      </c>
      <c r="J551" s="2" t="n">
        <v>30</v>
      </c>
      <c r="K551" s="2" t="s">
        <v>1317</v>
      </c>
      <c r="L551" s="2" t="s">
        <v>149</v>
      </c>
      <c r="M551" s="2" t="n">
        <v>185</v>
      </c>
      <c r="N551" s="3" t="n">
        <v>50000</v>
      </c>
      <c r="O551" s="2"/>
      <c r="P551" s="2" t="n">
        <v>9</v>
      </c>
      <c r="Q551" s="3" t="n">
        <v>287</v>
      </c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 t="n">
        <v>1</v>
      </c>
      <c r="AD551" s="2" t="n">
        <v>0.3</v>
      </c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 t="n">
        <v>2</v>
      </c>
      <c r="AX551" s="2"/>
      <c r="AY551" s="2"/>
      <c r="AZ551" s="2"/>
      <c r="BA551" s="2"/>
      <c r="BB551" s="2"/>
      <c r="BC551" s="2"/>
      <c r="BD551" s="4" t="s">
        <v>1962</v>
      </c>
    </row>
    <row r="552" customFormat="false" ht="15" hidden="false" customHeight="false" outlineLevel="0" collapsed="false">
      <c r="A552" s="2" t="n">
        <v>1647608</v>
      </c>
      <c r="B552" s="2" t="s">
        <v>1963</v>
      </c>
      <c r="C552" s="2" t="s">
        <v>1914</v>
      </c>
      <c r="D552" s="2" t="s">
        <v>58</v>
      </c>
      <c r="E552" s="2" t="s">
        <v>59</v>
      </c>
      <c r="F552" s="2" t="s">
        <v>102</v>
      </c>
      <c r="G552" s="2" t="s">
        <v>404</v>
      </c>
      <c r="H552" s="2" t="s">
        <v>597</v>
      </c>
      <c r="I552" s="2" t="n">
        <v>16</v>
      </c>
      <c r="J552" s="2" t="n">
        <v>19</v>
      </c>
      <c r="K552" s="2" t="s">
        <v>1964</v>
      </c>
      <c r="L552" s="2" t="s">
        <v>67</v>
      </c>
      <c r="M552" s="2" t="n">
        <v>183</v>
      </c>
      <c r="N552" s="3" t="n">
        <v>584911</v>
      </c>
      <c r="O552" s="2"/>
      <c r="P552" s="2" t="n">
        <v>7</v>
      </c>
      <c r="Q552" s="3" t="n">
        <v>213</v>
      </c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 t="n">
        <v>1</v>
      </c>
      <c r="AD552" s="2" t="n">
        <v>0.4</v>
      </c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 t="n">
        <v>3</v>
      </c>
      <c r="AX552" s="2"/>
      <c r="AY552" s="2"/>
      <c r="AZ552" s="2"/>
      <c r="BA552" s="2"/>
      <c r="BB552" s="2"/>
      <c r="BC552" s="2"/>
      <c r="BD552" s="4" t="s">
        <v>1965</v>
      </c>
    </row>
    <row r="553" customFormat="false" ht="15" hidden="false" customHeight="false" outlineLevel="0" collapsed="false">
      <c r="A553" s="2" t="n">
        <v>1615759</v>
      </c>
      <c r="B553" s="2" t="s">
        <v>1966</v>
      </c>
      <c r="C553" s="2" t="s">
        <v>1914</v>
      </c>
      <c r="D553" s="2" t="s">
        <v>58</v>
      </c>
      <c r="E553" s="2" t="s">
        <v>59</v>
      </c>
      <c r="F553" s="2" t="s">
        <v>102</v>
      </c>
      <c r="G553" s="2" t="s">
        <v>404</v>
      </c>
      <c r="H553" s="2" t="s">
        <v>404</v>
      </c>
      <c r="I553" s="2" t="n">
        <v>19</v>
      </c>
      <c r="J553" s="2" t="n">
        <v>26</v>
      </c>
      <c r="K553" s="2" t="s">
        <v>1967</v>
      </c>
      <c r="L553" s="2" t="s">
        <v>67</v>
      </c>
      <c r="M553" s="2" t="n">
        <v>165</v>
      </c>
      <c r="N553" s="3" t="n">
        <v>50000</v>
      </c>
      <c r="O553" s="2"/>
      <c r="P553" s="2" t="n">
        <v>2</v>
      </c>
      <c r="Q553" s="3" t="n">
        <v>9</v>
      </c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 t="n">
        <v>1</v>
      </c>
      <c r="AD553" s="2" t="n">
        <v>10</v>
      </c>
      <c r="AE553" s="2" t="n">
        <v>1</v>
      </c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4" t="s">
        <v>1968</v>
      </c>
    </row>
    <row r="554" customFormat="false" ht="15" hidden="false" customHeight="false" outlineLevel="0" collapsed="false">
      <c r="A554" s="2" t="n">
        <v>2263374</v>
      </c>
      <c r="B554" s="2" t="s">
        <v>1969</v>
      </c>
      <c r="C554" s="2" t="s">
        <v>1914</v>
      </c>
      <c r="D554" s="2" t="s">
        <v>58</v>
      </c>
      <c r="E554" s="2" t="s">
        <v>59</v>
      </c>
      <c r="F554" s="2" t="s">
        <v>102</v>
      </c>
      <c r="G554" s="2"/>
      <c r="H554" s="2"/>
      <c r="I554" s="2" t="n">
        <v>30</v>
      </c>
      <c r="J554" s="2" t="n">
        <v>20</v>
      </c>
      <c r="K554" s="2" t="s">
        <v>1970</v>
      </c>
      <c r="L554" s="2" t="s">
        <v>67</v>
      </c>
      <c r="M554" s="2" t="n">
        <v>183</v>
      </c>
      <c r="N554" s="3"/>
      <c r="O554" s="2"/>
      <c r="P554" s="2"/>
      <c r="Q554" s="3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4" t="s">
        <v>1971</v>
      </c>
    </row>
    <row r="555" customFormat="false" ht="15" hidden="false" customHeight="false" outlineLevel="0" collapsed="false">
      <c r="A555" s="2" t="n">
        <v>1357481</v>
      </c>
      <c r="B555" s="2" t="s">
        <v>1972</v>
      </c>
      <c r="C555" s="2" t="s">
        <v>1914</v>
      </c>
      <c r="D555" s="2" t="s">
        <v>58</v>
      </c>
      <c r="E555" s="2" t="s">
        <v>59</v>
      </c>
      <c r="F555" s="2" t="s">
        <v>137</v>
      </c>
      <c r="G555" s="2" t="s">
        <v>133</v>
      </c>
      <c r="H555" s="2" t="s">
        <v>1973</v>
      </c>
      <c r="I555" s="2" t="n">
        <v>17</v>
      </c>
      <c r="J555" s="2" t="n">
        <v>27</v>
      </c>
      <c r="K555" s="2" t="s">
        <v>1974</v>
      </c>
      <c r="L555" s="2" t="s">
        <v>77</v>
      </c>
      <c r="M555" s="2" t="n">
        <v>175</v>
      </c>
      <c r="N555" s="3" t="n">
        <v>111063</v>
      </c>
      <c r="O555" s="2"/>
      <c r="P555" s="2" t="n">
        <v>22</v>
      </c>
      <c r="Q555" s="3" t="n">
        <v>1785</v>
      </c>
      <c r="R555" s="2" t="n">
        <v>7.37</v>
      </c>
      <c r="S555" s="2" t="n">
        <v>2</v>
      </c>
      <c r="T555" s="2" t="n">
        <v>6</v>
      </c>
      <c r="U555" s="2" t="n">
        <v>1</v>
      </c>
      <c r="V555" s="2" t="n">
        <v>2</v>
      </c>
      <c r="W555" s="2"/>
      <c r="X555" s="2" t="n">
        <v>0.3</v>
      </c>
      <c r="Y555" s="2" t="n">
        <v>2</v>
      </c>
      <c r="Z555" s="2" t="n">
        <v>1.1</v>
      </c>
      <c r="AA555" s="2" t="n">
        <v>15</v>
      </c>
      <c r="AB555" s="2" t="n">
        <v>1</v>
      </c>
      <c r="AC555" s="2" t="n">
        <v>52</v>
      </c>
      <c r="AD555" s="2" t="n">
        <v>2.6</v>
      </c>
      <c r="AE555" s="2" t="n">
        <v>7</v>
      </c>
      <c r="AF555" s="2" t="n">
        <v>28.1</v>
      </c>
      <c r="AG555" s="2" t="n">
        <v>80.5</v>
      </c>
      <c r="AH555" s="2" t="n">
        <v>1.9</v>
      </c>
      <c r="AI555" s="2" t="n">
        <v>56.7</v>
      </c>
      <c r="AJ555" s="2" t="n">
        <v>1</v>
      </c>
      <c r="AK555" s="2" t="n">
        <v>39.2</v>
      </c>
      <c r="AL555" s="2"/>
      <c r="AM555" s="2"/>
      <c r="AN555" s="2" t="n">
        <v>2.9</v>
      </c>
      <c r="AO555" s="2" t="n">
        <v>1.4</v>
      </c>
      <c r="AP555" s="2" t="n">
        <v>0.6</v>
      </c>
      <c r="AQ555" s="2" t="n">
        <v>0.8</v>
      </c>
      <c r="AR555" s="2" t="n">
        <v>0.2</v>
      </c>
      <c r="AS555" s="2" t="n">
        <v>4.5</v>
      </c>
      <c r="AT555" s="2" t="n">
        <v>0.7</v>
      </c>
      <c r="AU555" s="2" t="n">
        <v>2.4</v>
      </c>
      <c r="AV555" s="2" t="n">
        <v>1</v>
      </c>
      <c r="AW555" s="2" t="n">
        <v>7</v>
      </c>
      <c r="AX555" s="2"/>
      <c r="AY555" s="2"/>
      <c r="AZ555" s="2"/>
      <c r="BA555" s="2"/>
      <c r="BB555" s="2"/>
      <c r="BC555" s="2"/>
      <c r="BD555" s="4" t="s">
        <v>1975</v>
      </c>
    </row>
    <row r="556" customFormat="false" ht="15" hidden="false" customHeight="false" outlineLevel="0" collapsed="false">
      <c r="A556" s="2" t="n">
        <v>1600846</v>
      </c>
      <c r="B556" s="2" t="s">
        <v>1976</v>
      </c>
      <c r="C556" s="2" t="s">
        <v>1914</v>
      </c>
      <c r="D556" s="2" t="s">
        <v>58</v>
      </c>
      <c r="E556" s="2" t="s">
        <v>59</v>
      </c>
      <c r="F556" s="2" t="s">
        <v>137</v>
      </c>
      <c r="G556" s="2" t="s">
        <v>138</v>
      </c>
      <c r="H556" s="2" t="s">
        <v>1977</v>
      </c>
      <c r="I556" s="2" t="n">
        <v>8</v>
      </c>
      <c r="J556" s="2" t="n">
        <v>25</v>
      </c>
      <c r="K556" s="2" t="s">
        <v>349</v>
      </c>
      <c r="L556" s="2" t="s">
        <v>178</v>
      </c>
      <c r="M556" s="2" t="n">
        <v>175</v>
      </c>
      <c r="N556" s="3"/>
      <c r="O556" s="2"/>
      <c r="P556" s="2" t="n">
        <v>22</v>
      </c>
      <c r="Q556" s="3" t="n">
        <v>1617</v>
      </c>
      <c r="R556" s="2" t="n">
        <v>7.04</v>
      </c>
      <c r="S556" s="2" t="n">
        <v>0</v>
      </c>
      <c r="T556" s="2" t="n">
        <v>4</v>
      </c>
      <c r="U556" s="2" t="n">
        <v>0</v>
      </c>
      <c r="V556" s="2" t="n">
        <v>3</v>
      </c>
      <c r="W556" s="2"/>
      <c r="X556" s="2" t="n">
        <v>0.22</v>
      </c>
      <c r="Y556" s="2" t="n">
        <v>3.5</v>
      </c>
      <c r="Z556" s="2" t="n">
        <v>1.3</v>
      </c>
      <c r="AA556" s="2" t="n">
        <v>6.5</v>
      </c>
      <c r="AB556" s="2" t="n">
        <v>3</v>
      </c>
      <c r="AC556" s="2" t="n">
        <v>21</v>
      </c>
      <c r="AD556" s="2" t="n">
        <v>1.2</v>
      </c>
      <c r="AE556" s="2" t="n">
        <v>1</v>
      </c>
      <c r="AF556" s="2" t="n">
        <v>18.5</v>
      </c>
      <c r="AG556" s="2" t="n">
        <v>73</v>
      </c>
      <c r="AH556" s="2" t="n">
        <v>1.5</v>
      </c>
      <c r="AI556" s="2" t="n">
        <v>47.4</v>
      </c>
      <c r="AJ556" s="2" t="n">
        <v>1</v>
      </c>
      <c r="AK556" s="2" t="n">
        <v>46.2</v>
      </c>
      <c r="AL556" s="2"/>
      <c r="AM556" s="2"/>
      <c r="AN556" s="2" t="n">
        <v>2.6</v>
      </c>
      <c r="AO556" s="2" t="n">
        <v>1.6</v>
      </c>
      <c r="AP556" s="2" t="n">
        <v>0.2</v>
      </c>
      <c r="AQ556" s="2" t="n">
        <v>0.6</v>
      </c>
      <c r="AR556" s="2" t="n">
        <v>0.1</v>
      </c>
      <c r="AS556" s="2" t="n">
        <v>3.5</v>
      </c>
      <c r="AT556" s="2" t="n">
        <v>0.5</v>
      </c>
      <c r="AU556" s="2" t="n">
        <v>2.3</v>
      </c>
      <c r="AV556" s="2" t="n">
        <v>1.7</v>
      </c>
      <c r="AW556" s="2" t="n">
        <v>3</v>
      </c>
      <c r="AX556" s="2"/>
      <c r="AY556" s="2"/>
      <c r="AZ556" s="2"/>
      <c r="BA556" s="2"/>
      <c r="BB556" s="2"/>
      <c r="BC556" s="2"/>
      <c r="BD556" s="4" t="s">
        <v>1978</v>
      </c>
    </row>
    <row r="557" customFormat="false" ht="15" hidden="false" customHeight="false" outlineLevel="0" collapsed="false">
      <c r="A557" s="2" t="n">
        <v>1624044</v>
      </c>
      <c r="B557" s="2" t="s">
        <v>1979</v>
      </c>
      <c r="C557" s="2" t="s">
        <v>1914</v>
      </c>
      <c r="D557" s="2" t="s">
        <v>58</v>
      </c>
      <c r="E557" s="2" t="s">
        <v>59</v>
      </c>
      <c r="F557" s="2" t="s">
        <v>137</v>
      </c>
      <c r="G557" s="2" t="s">
        <v>138</v>
      </c>
      <c r="H557" s="2" t="s">
        <v>138</v>
      </c>
      <c r="I557" s="2" t="n">
        <v>14</v>
      </c>
      <c r="J557" s="2" t="n">
        <v>25</v>
      </c>
      <c r="K557" s="2" t="s">
        <v>1980</v>
      </c>
      <c r="L557" s="2" t="s">
        <v>198</v>
      </c>
      <c r="M557" s="2" t="n">
        <v>180</v>
      </c>
      <c r="N557" s="3" t="n">
        <v>158360</v>
      </c>
      <c r="O557" s="2"/>
      <c r="P557" s="2" t="n">
        <v>8</v>
      </c>
      <c r="Q557" s="3" t="n">
        <v>463</v>
      </c>
      <c r="R557" s="2"/>
      <c r="S557" s="2"/>
      <c r="T557" s="2" t="n">
        <v>2</v>
      </c>
      <c r="U557" s="2" t="n">
        <v>0</v>
      </c>
      <c r="V557" s="2" t="n">
        <v>2</v>
      </c>
      <c r="W557" s="2"/>
      <c r="X557" s="2"/>
      <c r="Y557" s="2"/>
      <c r="Z557" s="2"/>
      <c r="AA557" s="2"/>
      <c r="AB557" s="2"/>
      <c r="AC557" s="2" t="n">
        <v>10</v>
      </c>
      <c r="AD557" s="2" t="n">
        <v>1.9</v>
      </c>
      <c r="AE557" s="2" t="n">
        <v>1</v>
      </c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 t="n">
        <v>1</v>
      </c>
      <c r="AX557" s="2"/>
      <c r="AY557" s="2"/>
      <c r="AZ557" s="2"/>
      <c r="BA557" s="2"/>
      <c r="BB557" s="2"/>
      <c r="BC557" s="2"/>
      <c r="BD557" s="4" t="s">
        <v>1981</v>
      </c>
    </row>
    <row r="558" customFormat="false" ht="15" hidden="false" customHeight="false" outlineLevel="0" collapsed="false">
      <c r="A558" s="2" t="n">
        <v>1515624</v>
      </c>
      <c r="B558" s="2" t="s">
        <v>1982</v>
      </c>
      <c r="C558" s="2" t="s">
        <v>1914</v>
      </c>
      <c r="D558" s="2" t="s">
        <v>58</v>
      </c>
      <c r="E558" s="2" t="s">
        <v>59</v>
      </c>
      <c r="F558" s="2" t="s">
        <v>137</v>
      </c>
      <c r="G558" s="2" t="s">
        <v>147</v>
      </c>
      <c r="H558" s="2" t="s">
        <v>147</v>
      </c>
      <c r="I558" s="2" t="n">
        <v>37</v>
      </c>
      <c r="J558" s="2" t="n">
        <v>23</v>
      </c>
      <c r="K558" s="2" t="s">
        <v>1983</v>
      </c>
      <c r="L558" s="2" t="s">
        <v>67</v>
      </c>
      <c r="M558" s="2" t="n">
        <v>193</v>
      </c>
      <c r="N558" s="3" t="n">
        <v>244494</v>
      </c>
      <c r="O558" s="2"/>
      <c r="P558" s="2" t="n">
        <v>5</v>
      </c>
      <c r="Q558" s="3" t="n">
        <v>392</v>
      </c>
      <c r="R558" s="2"/>
      <c r="S558" s="2"/>
      <c r="T558" s="2" t="n">
        <v>2</v>
      </c>
      <c r="U558" s="2" t="n">
        <v>0</v>
      </c>
      <c r="V558" s="2"/>
      <c r="W558" s="2"/>
      <c r="X558" s="2"/>
      <c r="Y558" s="2"/>
      <c r="Z558" s="2"/>
      <c r="AA558" s="2"/>
      <c r="AB558" s="2" t="n">
        <v>2</v>
      </c>
      <c r="AC558" s="2" t="n">
        <v>3</v>
      </c>
      <c r="AD558" s="2" t="n">
        <v>0.7</v>
      </c>
      <c r="AE558" s="2" t="n">
        <v>1</v>
      </c>
      <c r="AF558" s="2"/>
      <c r="AG558" s="2"/>
      <c r="AH558" s="2"/>
      <c r="AI558" s="2"/>
      <c r="AJ558" s="2"/>
      <c r="AK558" s="2"/>
      <c r="AL558" s="2" t="n">
        <v>1</v>
      </c>
      <c r="AM558" s="2" t="n">
        <v>2.3</v>
      </c>
      <c r="AN558" s="2"/>
      <c r="AO558" s="2"/>
      <c r="AP558" s="2"/>
      <c r="AQ558" s="2"/>
      <c r="AR558" s="2"/>
      <c r="AS558" s="2"/>
      <c r="AT558" s="2"/>
      <c r="AU558" s="2"/>
      <c r="AV558" s="2"/>
      <c r="AW558" s="2" t="n">
        <v>1</v>
      </c>
      <c r="AX558" s="2"/>
      <c r="AY558" s="2"/>
      <c r="AZ558" s="2"/>
      <c r="BA558" s="2"/>
      <c r="BB558" s="2"/>
      <c r="BC558" s="2"/>
      <c r="BD558" s="4" t="s">
        <v>1984</v>
      </c>
    </row>
    <row r="559" customFormat="false" ht="15" hidden="false" customHeight="false" outlineLevel="0" collapsed="false">
      <c r="A559" s="2" t="n">
        <v>1292844</v>
      </c>
      <c r="B559" s="2" t="s">
        <v>1985</v>
      </c>
      <c r="C559" s="2" t="s">
        <v>1914</v>
      </c>
      <c r="D559" s="2" t="s">
        <v>58</v>
      </c>
      <c r="E559" s="2" t="s">
        <v>59</v>
      </c>
      <c r="F559" s="2" t="s">
        <v>137</v>
      </c>
      <c r="G559" s="2" t="s">
        <v>147</v>
      </c>
      <c r="H559" s="2" t="s">
        <v>147</v>
      </c>
      <c r="I559" s="2" t="n">
        <v>18</v>
      </c>
      <c r="J559" s="2" t="n">
        <v>21</v>
      </c>
      <c r="K559" s="2" t="s">
        <v>1986</v>
      </c>
      <c r="L559" s="2" t="s">
        <v>110</v>
      </c>
      <c r="M559" s="2" t="n">
        <v>193</v>
      </c>
      <c r="N559" s="3" t="n">
        <v>258188</v>
      </c>
      <c r="O559" s="2"/>
      <c r="P559" s="2" t="n">
        <v>6</v>
      </c>
      <c r="Q559" s="3" t="n">
        <v>224</v>
      </c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 t="n">
        <v>2</v>
      </c>
      <c r="AC559" s="2" t="n">
        <v>4</v>
      </c>
      <c r="AD559" s="2" t="n">
        <v>1.6</v>
      </c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4" t="s">
        <v>1987</v>
      </c>
    </row>
    <row r="560" customFormat="false" ht="15" hidden="false" customHeight="false" outlineLevel="0" collapsed="false">
      <c r="A560" s="2" t="n">
        <v>1355804</v>
      </c>
      <c r="B560" s="2" t="s">
        <v>1988</v>
      </c>
      <c r="C560" s="2" t="s">
        <v>1914</v>
      </c>
      <c r="D560" s="2" t="s">
        <v>58</v>
      </c>
      <c r="E560" s="2" t="s">
        <v>59</v>
      </c>
      <c r="F560" s="2" t="s">
        <v>137</v>
      </c>
      <c r="G560" s="2" t="s">
        <v>427</v>
      </c>
      <c r="H560" s="2" t="s">
        <v>427</v>
      </c>
      <c r="I560" s="2" t="n">
        <v>20</v>
      </c>
      <c r="J560" s="2" t="n">
        <v>22</v>
      </c>
      <c r="K560" s="2" t="s">
        <v>1989</v>
      </c>
      <c r="L560" s="2" t="s">
        <v>67</v>
      </c>
      <c r="M560" s="2" t="n">
        <v>178</v>
      </c>
      <c r="N560" s="3"/>
      <c r="O560" s="2"/>
      <c r="P560" s="2" t="n">
        <v>1</v>
      </c>
      <c r="Q560" s="3" t="n">
        <v>7</v>
      </c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4" t="s">
        <v>1990</v>
      </c>
    </row>
    <row r="561" customFormat="false" ht="15" hidden="false" customHeight="false" outlineLevel="0" collapsed="false">
      <c r="A561" s="2" t="n">
        <v>1843221</v>
      </c>
      <c r="B561" s="2" t="s">
        <v>1991</v>
      </c>
      <c r="C561" s="2" t="s">
        <v>1914</v>
      </c>
      <c r="D561" s="2" t="s">
        <v>58</v>
      </c>
      <c r="E561" s="2" t="s">
        <v>59</v>
      </c>
      <c r="F561" s="2" t="s">
        <v>137</v>
      </c>
      <c r="G561" s="2" t="s">
        <v>147</v>
      </c>
      <c r="H561" s="2" t="s">
        <v>147</v>
      </c>
      <c r="I561" s="2" t="n">
        <v>27</v>
      </c>
      <c r="J561" s="2" t="n">
        <v>18</v>
      </c>
      <c r="K561" s="2" t="s">
        <v>1992</v>
      </c>
      <c r="L561" s="2" t="s">
        <v>149</v>
      </c>
      <c r="M561" s="2" t="n">
        <v>191</v>
      </c>
      <c r="N561" s="3"/>
      <c r="O561" s="2"/>
      <c r="P561" s="2"/>
      <c r="Q561" s="3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4" t="s">
        <v>1993</v>
      </c>
    </row>
    <row r="562" customFormat="false" ht="15" hidden="false" customHeight="false" outlineLevel="0" collapsed="false">
      <c r="A562" s="2" t="n">
        <v>1923039</v>
      </c>
      <c r="B562" s="2" t="s">
        <v>1994</v>
      </c>
      <c r="C562" s="2" t="s">
        <v>1914</v>
      </c>
      <c r="D562" s="2" t="s">
        <v>58</v>
      </c>
      <c r="E562" s="2" t="s">
        <v>59</v>
      </c>
      <c r="F562" s="2" t="s">
        <v>137</v>
      </c>
      <c r="G562" s="2"/>
      <c r="H562" s="2"/>
      <c r="I562" s="2" t="n">
        <v>28</v>
      </c>
      <c r="J562" s="2" t="n">
        <v>18</v>
      </c>
      <c r="K562" s="2" t="s">
        <v>1995</v>
      </c>
      <c r="L562" s="2" t="s">
        <v>85</v>
      </c>
      <c r="M562" s="2"/>
      <c r="N562" s="3"/>
      <c r="O562" s="2"/>
      <c r="P562" s="2"/>
      <c r="Q562" s="3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4" t="s">
        <v>1996</v>
      </c>
    </row>
    <row r="563" customFormat="false" ht="15" hidden="false" customHeight="false" outlineLevel="0" collapsed="false">
      <c r="A563" s="2" t="n">
        <v>1079451</v>
      </c>
      <c r="B563" s="2" t="s">
        <v>1997</v>
      </c>
      <c r="C563" s="2" t="s">
        <v>1998</v>
      </c>
      <c r="D563" s="2" t="s">
        <v>341</v>
      </c>
      <c r="E563" s="2" t="s">
        <v>59</v>
      </c>
      <c r="F563" s="2" t="s">
        <v>60</v>
      </c>
      <c r="G563" s="2" t="s">
        <v>61</v>
      </c>
      <c r="H563" s="2" t="s">
        <v>61</v>
      </c>
      <c r="I563" s="2" t="n">
        <v>1</v>
      </c>
      <c r="J563" s="2" t="n">
        <v>30</v>
      </c>
      <c r="K563" s="2" t="s">
        <v>1999</v>
      </c>
      <c r="L563" s="2" t="s">
        <v>67</v>
      </c>
      <c r="M563" s="2" t="n">
        <v>188</v>
      </c>
      <c r="N563" s="3" t="n">
        <v>50000</v>
      </c>
      <c r="O563" s="2"/>
      <c r="P563" s="2" t="n">
        <v>25</v>
      </c>
      <c r="Q563" s="3" t="n">
        <v>2250</v>
      </c>
      <c r="R563" s="2" t="n">
        <v>6.94</v>
      </c>
      <c r="S563" s="2" t="n">
        <v>0</v>
      </c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 t="n">
        <v>15.8</v>
      </c>
      <c r="AG563" s="2" t="n">
        <v>65.3</v>
      </c>
      <c r="AH563" s="2"/>
      <c r="AI563" s="2"/>
      <c r="AJ563" s="2"/>
      <c r="AK563" s="2"/>
      <c r="AL563" s="2"/>
      <c r="AM563" s="2"/>
      <c r="AN563" s="2" t="n">
        <v>1</v>
      </c>
      <c r="AO563" s="2"/>
      <c r="AP563" s="2"/>
      <c r="AQ563" s="2" t="n">
        <v>1</v>
      </c>
      <c r="AR563" s="2"/>
      <c r="AS563" s="2" t="n">
        <v>8.8</v>
      </c>
      <c r="AT563" s="2"/>
      <c r="AU563" s="2"/>
      <c r="AV563" s="2"/>
      <c r="AW563" s="2" t="n">
        <v>2</v>
      </c>
      <c r="AX563" s="2"/>
      <c r="AY563" s="2"/>
      <c r="AZ563" s="2" t="n">
        <v>9</v>
      </c>
      <c r="BA563" s="2" t="n">
        <v>2.2</v>
      </c>
      <c r="BB563" s="2" t="n">
        <v>71.8</v>
      </c>
      <c r="BC563" s="2" t="n">
        <v>0.9</v>
      </c>
      <c r="BD563" s="4" t="s">
        <v>2000</v>
      </c>
    </row>
    <row r="564" customFormat="false" ht="15" hidden="false" customHeight="false" outlineLevel="0" collapsed="false">
      <c r="A564" s="2" t="n">
        <v>1615772</v>
      </c>
      <c r="B564" s="2" t="s">
        <v>2001</v>
      </c>
      <c r="C564" s="2" t="s">
        <v>1998</v>
      </c>
      <c r="D564" s="2" t="s">
        <v>341</v>
      </c>
      <c r="E564" s="2" t="s">
        <v>59</v>
      </c>
      <c r="F564" s="2" t="s">
        <v>60</v>
      </c>
      <c r="G564" s="2" t="s">
        <v>61</v>
      </c>
      <c r="H564" s="2" t="s">
        <v>61</v>
      </c>
      <c r="I564" s="2" t="n">
        <v>31</v>
      </c>
      <c r="J564" s="2" t="n">
        <v>25</v>
      </c>
      <c r="K564" s="2" t="s">
        <v>2002</v>
      </c>
      <c r="L564" s="2" t="s">
        <v>67</v>
      </c>
      <c r="M564" s="2" t="n">
        <v>196</v>
      </c>
      <c r="N564" s="3" t="n">
        <v>50000</v>
      </c>
      <c r="O564" s="2"/>
      <c r="P564" s="2"/>
      <c r="Q564" s="3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4" t="s">
        <v>2003</v>
      </c>
    </row>
    <row r="565" customFormat="false" ht="15" hidden="false" customHeight="false" outlineLevel="0" collapsed="false">
      <c r="A565" s="2" t="n">
        <v>1997450</v>
      </c>
      <c r="B565" s="2" t="s">
        <v>2004</v>
      </c>
      <c r="C565" s="2" t="s">
        <v>1998</v>
      </c>
      <c r="D565" s="2" t="s">
        <v>341</v>
      </c>
      <c r="E565" s="2" t="s">
        <v>59</v>
      </c>
      <c r="F565" s="2" t="s">
        <v>60</v>
      </c>
      <c r="G565" s="2"/>
      <c r="H565" s="2"/>
      <c r="I565" s="2" t="n">
        <v>44</v>
      </c>
      <c r="J565" s="2" t="n">
        <v>18</v>
      </c>
      <c r="K565" s="2" t="s">
        <v>2005</v>
      </c>
      <c r="L565" s="2" t="s">
        <v>67</v>
      </c>
      <c r="M565" s="2" t="n">
        <v>191</v>
      </c>
      <c r="N565" s="3"/>
      <c r="O565" s="2"/>
      <c r="P565" s="2"/>
      <c r="Q565" s="3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4" t="s">
        <v>2006</v>
      </c>
    </row>
    <row r="566" customFormat="false" ht="15" hidden="false" customHeight="false" outlineLevel="0" collapsed="false">
      <c r="A566" s="2" t="n">
        <v>556023</v>
      </c>
      <c r="B566" s="2" t="s">
        <v>2007</v>
      </c>
      <c r="C566" s="2" t="s">
        <v>1998</v>
      </c>
      <c r="D566" s="2" t="s">
        <v>341</v>
      </c>
      <c r="E566" s="2" t="s">
        <v>59</v>
      </c>
      <c r="F566" s="2" t="s">
        <v>70</v>
      </c>
      <c r="G566" s="2" t="s">
        <v>75</v>
      </c>
      <c r="H566" s="2" t="s">
        <v>756</v>
      </c>
      <c r="I566" s="2" t="n">
        <v>4</v>
      </c>
      <c r="J566" s="2" t="n">
        <v>31</v>
      </c>
      <c r="K566" s="2" t="s">
        <v>2008</v>
      </c>
      <c r="L566" s="2" t="s">
        <v>784</v>
      </c>
      <c r="M566" s="2" t="n">
        <v>185</v>
      </c>
      <c r="N566" s="3" t="n">
        <v>50000</v>
      </c>
      <c r="O566" s="2"/>
      <c r="P566" s="2" t="n">
        <v>25</v>
      </c>
      <c r="Q566" s="3" t="n">
        <v>2205</v>
      </c>
      <c r="R566" s="2" t="n">
        <v>7.27</v>
      </c>
      <c r="S566" s="2" t="n">
        <v>0</v>
      </c>
      <c r="T566" s="2" t="n">
        <v>1</v>
      </c>
      <c r="U566" s="2" t="n">
        <v>0</v>
      </c>
      <c r="V566" s="2"/>
      <c r="W566" s="2"/>
      <c r="X566" s="2" t="n">
        <v>0.04</v>
      </c>
      <c r="Y566" s="2" t="n">
        <v>0.6</v>
      </c>
      <c r="Z566" s="2" t="n">
        <v>0.2</v>
      </c>
      <c r="AA566" s="2" t="n">
        <v>6.7</v>
      </c>
      <c r="AB566" s="2"/>
      <c r="AC566" s="2" t="n">
        <v>8</v>
      </c>
      <c r="AD566" s="2" t="n">
        <v>0.3</v>
      </c>
      <c r="AE566" s="2" t="n">
        <v>1</v>
      </c>
      <c r="AF566" s="2" t="n">
        <v>53.6</v>
      </c>
      <c r="AG566" s="2" t="n">
        <v>84.4</v>
      </c>
      <c r="AH566" s="2" t="n">
        <v>2.7</v>
      </c>
      <c r="AI566" s="2" t="n">
        <v>35.5</v>
      </c>
      <c r="AJ566" s="2" t="n">
        <v>0.1</v>
      </c>
      <c r="AK566" s="2" t="n">
        <v>66.7</v>
      </c>
      <c r="AL566" s="2"/>
      <c r="AM566" s="2"/>
      <c r="AN566" s="2" t="n">
        <v>8</v>
      </c>
      <c r="AO566" s="2" t="n">
        <v>0.8</v>
      </c>
      <c r="AP566" s="2" t="n">
        <v>1.3</v>
      </c>
      <c r="AQ566" s="2" t="n">
        <v>5.3</v>
      </c>
      <c r="AR566" s="2" t="n">
        <v>0.7</v>
      </c>
      <c r="AS566" s="2" t="n">
        <v>4.1</v>
      </c>
      <c r="AT566" s="2" t="n">
        <v>0</v>
      </c>
      <c r="AU566" s="2" t="n">
        <v>2</v>
      </c>
      <c r="AV566" s="2" t="n">
        <v>0.9</v>
      </c>
      <c r="AW566" s="2" t="n">
        <v>2</v>
      </c>
      <c r="AX566" s="2"/>
      <c r="AY566" s="2" t="n">
        <v>1</v>
      </c>
      <c r="AZ566" s="2"/>
      <c r="BA566" s="2"/>
      <c r="BB566" s="2"/>
      <c r="BC566" s="2"/>
      <c r="BD566" s="4" t="s">
        <v>2009</v>
      </c>
    </row>
    <row r="567" customFormat="false" ht="15" hidden="false" customHeight="false" outlineLevel="0" collapsed="false">
      <c r="A567" s="2" t="n">
        <v>1170733</v>
      </c>
      <c r="B567" s="2" t="s">
        <v>2010</v>
      </c>
      <c r="C567" s="2" t="s">
        <v>1998</v>
      </c>
      <c r="D567" s="2" t="s">
        <v>341</v>
      </c>
      <c r="E567" s="2" t="s">
        <v>59</v>
      </c>
      <c r="F567" s="2" t="s">
        <v>70</v>
      </c>
      <c r="G567" s="2" t="s">
        <v>92</v>
      </c>
      <c r="H567" s="2" t="s">
        <v>276</v>
      </c>
      <c r="I567" s="2" t="n">
        <v>2</v>
      </c>
      <c r="J567" s="2" t="n">
        <v>30</v>
      </c>
      <c r="K567" s="2" t="s">
        <v>2011</v>
      </c>
      <c r="L567" s="2" t="s">
        <v>110</v>
      </c>
      <c r="M567" s="2" t="n">
        <v>173</v>
      </c>
      <c r="N567" s="3" t="n">
        <v>72000</v>
      </c>
      <c r="O567" s="2"/>
      <c r="P567" s="2" t="n">
        <v>18</v>
      </c>
      <c r="Q567" s="3" t="n">
        <v>1535</v>
      </c>
      <c r="R567" s="2" t="n">
        <v>7.17</v>
      </c>
      <c r="S567" s="2" t="n">
        <v>2</v>
      </c>
      <c r="T567" s="2" t="n">
        <v>1</v>
      </c>
      <c r="U567" s="2" t="n">
        <v>0</v>
      </c>
      <c r="V567" s="2" t="n">
        <v>4</v>
      </c>
      <c r="W567" s="2"/>
      <c r="X567" s="2" t="n">
        <v>0.06</v>
      </c>
      <c r="Y567" s="2" t="n">
        <v>1.1</v>
      </c>
      <c r="Z567" s="2" t="n">
        <v>0.4</v>
      </c>
      <c r="AA567" s="2" t="n">
        <v>5.6</v>
      </c>
      <c r="AB567" s="2" t="n">
        <v>2</v>
      </c>
      <c r="AC567" s="2" t="n">
        <v>24</v>
      </c>
      <c r="AD567" s="2" t="n">
        <v>1.4</v>
      </c>
      <c r="AE567" s="2" t="n">
        <v>6</v>
      </c>
      <c r="AF567" s="2" t="n">
        <v>27.3</v>
      </c>
      <c r="AG567" s="2" t="n">
        <v>73.9</v>
      </c>
      <c r="AH567" s="2" t="n">
        <v>3.3</v>
      </c>
      <c r="AI567" s="2" t="n">
        <v>45.2</v>
      </c>
      <c r="AJ567" s="2" t="n">
        <v>0.4</v>
      </c>
      <c r="AK567" s="2" t="n">
        <v>30</v>
      </c>
      <c r="AL567" s="2" t="n">
        <v>1</v>
      </c>
      <c r="AM567" s="2" t="n">
        <v>1.1</v>
      </c>
      <c r="AN567" s="2" t="n">
        <v>4.6</v>
      </c>
      <c r="AO567" s="2" t="n">
        <v>0.9</v>
      </c>
      <c r="AP567" s="2" t="n">
        <v>0.8</v>
      </c>
      <c r="AQ567" s="2" t="n">
        <v>2.6</v>
      </c>
      <c r="AR567" s="2" t="n">
        <v>0.3</v>
      </c>
      <c r="AS567" s="2" t="n">
        <v>2.2</v>
      </c>
      <c r="AT567" s="2"/>
      <c r="AU567" s="2"/>
      <c r="AV567" s="2" t="n">
        <v>0.8</v>
      </c>
      <c r="AW567" s="2"/>
      <c r="AX567" s="2"/>
      <c r="AY567" s="2" t="n">
        <v>1</v>
      </c>
      <c r="AZ567" s="2"/>
      <c r="BA567" s="2"/>
      <c r="BB567" s="2"/>
      <c r="BC567" s="2"/>
      <c r="BD567" s="4" t="s">
        <v>2012</v>
      </c>
    </row>
    <row r="568" customFormat="false" ht="15" hidden="false" customHeight="false" outlineLevel="0" collapsed="false">
      <c r="A568" s="2" t="n">
        <v>1172907</v>
      </c>
      <c r="B568" s="2" t="s">
        <v>2013</v>
      </c>
      <c r="C568" s="2" t="s">
        <v>1998</v>
      </c>
      <c r="D568" s="2" t="s">
        <v>341</v>
      </c>
      <c r="E568" s="2" t="s">
        <v>59</v>
      </c>
      <c r="F568" s="2" t="s">
        <v>70</v>
      </c>
      <c r="G568" s="2" t="s">
        <v>75</v>
      </c>
      <c r="H568" s="2" t="s">
        <v>75</v>
      </c>
      <c r="I568" s="2" t="n">
        <v>5</v>
      </c>
      <c r="J568" s="2" t="n">
        <v>29</v>
      </c>
      <c r="K568" s="2" t="s">
        <v>2014</v>
      </c>
      <c r="L568" s="2" t="s">
        <v>67</v>
      </c>
      <c r="M568" s="2" t="n">
        <v>183</v>
      </c>
      <c r="N568" s="3" t="n">
        <v>50000</v>
      </c>
      <c r="O568" s="2"/>
      <c r="P568" s="2" t="n">
        <v>17</v>
      </c>
      <c r="Q568" s="3" t="n">
        <v>1397</v>
      </c>
      <c r="R568" s="2" t="n">
        <v>7.09</v>
      </c>
      <c r="S568" s="2" t="n">
        <v>1</v>
      </c>
      <c r="T568" s="2" t="n">
        <v>2</v>
      </c>
      <c r="U568" s="2" t="n">
        <v>0</v>
      </c>
      <c r="V568" s="2" t="n">
        <v>1</v>
      </c>
      <c r="W568" s="2"/>
      <c r="X568" s="2" t="n">
        <v>0.13</v>
      </c>
      <c r="Y568" s="2" t="n">
        <v>0.9</v>
      </c>
      <c r="Z568" s="2" t="n">
        <v>0.2</v>
      </c>
      <c r="AA568" s="2" t="n">
        <v>14.3</v>
      </c>
      <c r="AB568" s="2"/>
      <c r="AC568" s="2" t="n">
        <v>2</v>
      </c>
      <c r="AD568" s="2" t="n">
        <v>0.1</v>
      </c>
      <c r="AE568" s="2" t="n">
        <v>1</v>
      </c>
      <c r="AF568" s="2" t="n">
        <v>55.8</v>
      </c>
      <c r="AG568" s="2" t="n">
        <v>89</v>
      </c>
      <c r="AH568" s="2" t="n">
        <v>2.8</v>
      </c>
      <c r="AI568" s="2" t="n">
        <v>40.7</v>
      </c>
      <c r="AJ568" s="2"/>
      <c r="AK568" s="2"/>
      <c r="AL568" s="2"/>
      <c r="AM568" s="2"/>
      <c r="AN568" s="2" t="n">
        <v>5.3</v>
      </c>
      <c r="AO568" s="2" t="n">
        <v>1</v>
      </c>
      <c r="AP568" s="2" t="n">
        <v>0.3</v>
      </c>
      <c r="AQ568" s="2" t="n">
        <v>3.5</v>
      </c>
      <c r="AR568" s="2" t="n">
        <v>0.4</v>
      </c>
      <c r="AS568" s="2" t="n">
        <v>2.9</v>
      </c>
      <c r="AT568" s="2" t="n">
        <v>0.1</v>
      </c>
      <c r="AU568" s="2" t="n">
        <v>1.1</v>
      </c>
      <c r="AV568" s="2" t="n">
        <v>0.5</v>
      </c>
      <c r="AW568" s="2" t="n">
        <v>1</v>
      </c>
      <c r="AX568" s="2"/>
      <c r="AY568" s="2"/>
      <c r="AZ568" s="2"/>
      <c r="BA568" s="2"/>
      <c r="BB568" s="2"/>
      <c r="BC568" s="2"/>
      <c r="BD568" s="4" t="s">
        <v>2015</v>
      </c>
    </row>
    <row r="569" customFormat="false" ht="15" hidden="false" customHeight="false" outlineLevel="0" collapsed="false">
      <c r="A569" s="2" t="n">
        <v>772825</v>
      </c>
      <c r="B569" s="2" t="s">
        <v>2016</v>
      </c>
      <c r="C569" s="2" t="s">
        <v>1998</v>
      </c>
      <c r="D569" s="2" t="s">
        <v>341</v>
      </c>
      <c r="E569" s="2" t="s">
        <v>59</v>
      </c>
      <c r="F569" s="2" t="s">
        <v>70</v>
      </c>
      <c r="G569" s="2" t="s">
        <v>71</v>
      </c>
      <c r="H569" s="2" t="s">
        <v>1937</v>
      </c>
      <c r="I569" s="2" t="n">
        <v>22</v>
      </c>
      <c r="J569" s="2" t="n">
        <v>30</v>
      </c>
      <c r="K569" s="2" t="s">
        <v>2017</v>
      </c>
      <c r="L569" s="2" t="s">
        <v>346</v>
      </c>
      <c r="M569" s="2" t="n">
        <v>168</v>
      </c>
      <c r="N569" s="3" t="n">
        <v>72000</v>
      </c>
      <c r="O569" s="2"/>
      <c r="P569" s="2" t="n">
        <v>12</v>
      </c>
      <c r="Q569" s="3" t="n">
        <v>1070</v>
      </c>
      <c r="R569" s="2"/>
      <c r="S569" s="2"/>
      <c r="T569" s="2" t="n">
        <v>3</v>
      </c>
      <c r="U569" s="2" t="n">
        <v>2</v>
      </c>
      <c r="V569" s="2" t="n">
        <v>1</v>
      </c>
      <c r="W569" s="2"/>
      <c r="X569" s="2"/>
      <c r="Y569" s="2"/>
      <c r="Z569" s="2"/>
      <c r="AA569" s="2"/>
      <c r="AB569" s="2" t="n">
        <v>4</v>
      </c>
      <c r="AC569" s="2" t="n">
        <v>15</v>
      </c>
      <c r="AD569" s="2" t="n">
        <v>1.3</v>
      </c>
      <c r="AE569" s="2" t="n">
        <v>1</v>
      </c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 t="n">
        <v>3</v>
      </c>
      <c r="AX569" s="2"/>
      <c r="AY569" s="2" t="n">
        <v>1</v>
      </c>
      <c r="AZ569" s="2"/>
      <c r="BA569" s="2"/>
      <c r="BB569" s="2"/>
      <c r="BC569" s="2"/>
      <c r="BD569" s="4" t="s">
        <v>2018</v>
      </c>
    </row>
    <row r="570" customFormat="false" ht="15" hidden="false" customHeight="false" outlineLevel="0" collapsed="false">
      <c r="A570" s="2" t="n">
        <v>1195444</v>
      </c>
      <c r="B570" s="2" t="s">
        <v>2019</v>
      </c>
      <c r="C570" s="2" t="s">
        <v>1998</v>
      </c>
      <c r="D570" s="2" t="s">
        <v>341</v>
      </c>
      <c r="E570" s="2" t="s">
        <v>59</v>
      </c>
      <c r="F570" s="2" t="s">
        <v>70</v>
      </c>
      <c r="G570" s="2" t="s">
        <v>71</v>
      </c>
      <c r="H570" s="2" t="s">
        <v>2020</v>
      </c>
      <c r="I570" s="2" t="n">
        <v>3</v>
      </c>
      <c r="J570" s="2" t="n">
        <v>28</v>
      </c>
      <c r="K570" s="2" t="s">
        <v>2021</v>
      </c>
      <c r="L570" s="2" t="s">
        <v>67</v>
      </c>
      <c r="M570" s="2" t="n">
        <v>173</v>
      </c>
      <c r="N570" s="3" t="n">
        <v>50000</v>
      </c>
      <c r="O570" s="2"/>
      <c r="P570" s="2" t="n">
        <v>16</v>
      </c>
      <c r="Q570" s="3" t="n">
        <v>956</v>
      </c>
      <c r="R570" s="2" t="n">
        <v>6.65</v>
      </c>
      <c r="S570" s="2" t="n">
        <v>0</v>
      </c>
      <c r="T570" s="2"/>
      <c r="U570" s="2"/>
      <c r="V570" s="2" t="n">
        <v>1</v>
      </c>
      <c r="W570" s="2"/>
      <c r="X570" s="2"/>
      <c r="Y570" s="2" t="n">
        <v>0.5</v>
      </c>
      <c r="Z570" s="2" t="n">
        <v>0.1</v>
      </c>
      <c r="AA570" s="2" t="n">
        <v>0</v>
      </c>
      <c r="AB570" s="2"/>
      <c r="AC570" s="2" t="n">
        <v>10</v>
      </c>
      <c r="AD570" s="2" t="n">
        <v>0.9</v>
      </c>
      <c r="AE570" s="2" t="n">
        <v>4</v>
      </c>
      <c r="AF570" s="2" t="n">
        <v>23</v>
      </c>
      <c r="AG570" s="2" t="n">
        <v>78</v>
      </c>
      <c r="AH570" s="2" t="n">
        <v>0.5</v>
      </c>
      <c r="AI570" s="2" t="n">
        <v>20</v>
      </c>
      <c r="AJ570" s="2" t="n">
        <v>0.8</v>
      </c>
      <c r="AK570" s="2" t="n">
        <v>33.3</v>
      </c>
      <c r="AL570" s="2"/>
      <c r="AM570" s="2"/>
      <c r="AN570" s="2" t="n">
        <v>3.2</v>
      </c>
      <c r="AO570" s="2" t="n">
        <v>0.9</v>
      </c>
      <c r="AP570" s="2" t="n">
        <v>0.4</v>
      </c>
      <c r="AQ570" s="2" t="n">
        <v>1.6</v>
      </c>
      <c r="AR570" s="2" t="n">
        <v>0.3</v>
      </c>
      <c r="AS570" s="2" t="n">
        <v>3</v>
      </c>
      <c r="AT570" s="2" t="n">
        <v>0.3</v>
      </c>
      <c r="AU570" s="2" t="n">
        <v>1.7</v>
      </c>
      <c r="AV570" s="2" t="n">
        <v>1.2</v>
      </c>
      <c r="AW570" s="2" t="n">
        <v>1</v>
      </c>
      <c r="AX570" s="2"/>
      <c r="AY570" s="2"/>
      <c r="AZ570" s="2"/>
      <c r="BA570" s="2"/>
      <c r="BB570" s="2"/>
      <c r="BC570" s="2"/>
      <c r="BD570" s="4" t="s">
        <v>2022</v>
      </c>
    </row>
    <row r="571" customFormat="false" ht="15" hidden="false" customHeight="false" outlineLevel="0" collapsed="false">
      <c r="A571" s="2" t="n">
        <v>1246735</v>
      </c>
      <c r="B571" s="2" t="s">
        <v>2023</v>
      </c>
      <c r="C571" s="2" t="s">
        <v>1998</v>
      </c>
      <c r="D571" s="2" t="s">
        <v>341</v>
      </c>
      <c r="E571" s="2" t="s">
        <v>59</v>
      </c>
      <c r="F571" s="2" t="s">
        <v>70</v>
      </c>
      <c r="G571" s="2" t="s">
        <v>75</v>
      </c>
      <c r="H571" s="2" t="s">
        <v>75</v>
      </c>
      <c r="I571" s="2" t="n">
        <v>6</v>
      </c>
      <c r="J571" s="2" t="n">
        <v>27</v>
      </c>
      <c r="K571" s="2" t="s">
        <v>2024</v>
      </c>
      <c r="L571" s="2" t="s">
        <v>67</v>
      </c>
      <c r="M571" s="2" t="n">
        <v>193</v>
      </c>
      <c r="N571" s="3" t="n">
        <v>72000</v>
      </c>
      <c r="O571" s="2"/>
      <c r="P571" s="2" t="n">
        <v>12</v>
      </c>
      <c r="Q571" s="3" t="n">
        <v>911</v>
      </c>
      <c r="R571" s="2"/>
      <c r="S571" s="2"/>
      <c r="T571" s="2" t="n">
        <v>1</v>
      </c>
      <c r="U571" s="2" t="n">
        <v>0</v>
      </c>
      <c r="V571" s="2"/>
      <c r="W571" s="2"/>
      <c r="X571" s="2"/>
      <c r="Y571" s="2"/>
      <c r="Z571" s="2"/>
      <c r="AA571" s="2"/>
      <c r="AB571" s="2"/>
      <c r="AC571" s="2" t="n">
        <v>1</v>
      </c>
      <c r="AD571" s="2" t="n">
        <v>0.1</v>
      </c>
      <c r="AE571" s="2" t="n">
        <v>1</v>
      </c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 t="n">
        <v>4</v>
      </c>
      <c r="AX571" s="2"/>
      <c r="AY571" s="2" t="n">
        <v>1</v>
      </c>
      <c r="AZ571" s="2"/>
      <c r="BA571" s="2"/>
      <c r="BB571" s="2"/>
      <c r="BC571" s="2"/>
      <c r="BD571" s="4" t="s">
        <v>2025</v>
      </c>
    </row>
    <row r="572" customFormat="false" ht="15" hidden="false" customHeight="false" outlineLevel="0" collapsed="false">
      <c r="A572" s="2" t="n">
        <v>1320050</v>
      </c>
      <c r="B572" s="2" t="s">
        <v>2026</v>
      </c>
      <c r="C572" s="2" t="s">
        <v>1998</v>
      </c>
      <c r="D572" s="2" t="s">
        <v>341</v>
      </c>
      <c r="E572" s="2" t="s">
        <v>59</v>
      </c>
      <c r="F572" s="2" t="s">
        <v>70</v>
      </c>
      <c r="G572" s="2" t="s">
        <v>75</v>
      </c>
      <c r="H572" s="2" t="s">
        <v>2027</v>
      </c>
      <c r="I572" s="2" t="n">
        <v>15</v>
      </c>
      <c r="J572" s="2" t="n">
        <v>21</v>
      </c>
      <c r="K572" s="2" t="s">
        <v>2028</v>
      </c>
      <c r="L572" s="2" t="s">
        <v>105</v>
      </c>
      <c r="M572" s="2" t="n">
        <v>175</v>
      </c>
      <c r="N572" s="3" t="n">
        <v>203120</v>
      </c>
      <c r="O572" s="2"/>
      <c r="P572" s="2" t="n">
        <v>18</v>
      </c>
      <c r="Q572" s="3" t="n">
        <v>692</v>
      </c>
      <c r="R572" s="2"/>
      <c r="S572" s="2"/>
      <c r="T572" s="2" t="n">
        <v>1</v>
      </c>
      <c r="U572" s="2" t="n">
        <v>0</v>
      </c>
      <c r="V572" s="2"/>
      <c r="W572" s="2"/>
      <c r="X572" s="2" t="n">
        <v>0.13</v>
      </c>
      <c r="Y572" s="2" t="n">
        <v>0.5</v>
      </c>
      <c r="Z572" s="2" t="n">
        <v>0.3</v>
      </c>
      <c r="AA572" s="2" t="n">
        <v>25</v>
      </c>
      <c r="AB572" s="2"/>
      <c r="AC572" s="2" t="n">
        <v>4</v>
      </c>
      <c r="AD572" s="2" t="n">
        <v>0.5</v>
      </c>
      <c r="AE572" s="2"/>
      <c r="AF572" s="2" t="n">
        <v>39</v>
      </c>
      <c r="AG572" s="2" t="n">
        <v>80.6</v>
      </c>
      <c r="AH572" s="2" t="n">
        <v>3.9</v>
      </c>
      <c r="AI572" s="2" t="n">
        <v>51.7</v>
      </c>
      <c r="AJ572" s="2" t="n">
        <v>0.8</v>
      </c>
      <c r="AK572" s="2" t="n">
        <v>75</v>
      </c>
      <c r="AL572" s="2"/>
      <c r="AM572" s="2"/>
      <c r="AN572" s="2" t="n">
        <v>8.3</v>
      </c>
      <c r="AO572" s="2" t="n">
        <v>1.8</v>
      </c>
      <c r="AP572" s="2" t="n">
        <v>1.7</v>
      </c>
      <c r="AQ572" s="2" t="n">
        <v>4.6</v>
      </c>
      <c r="AR572" s="2" t="n">
        <v>0.3</v>
      </c>
      <c r="AS572" s="2" t="n">
        <v>4.3</v>
      </c>
      <c r="AT572" s="2" t="n">
        <v>0.3</v>
      </c>
      <c r="AU572" s="2" t="n">
        <v>2.5</v>
      </c>
      <c r="AV572" s="2" t="n">
        <v>2.3</v>
      </c>
      <c r="AW572" s="2" t="n">
        <v>8</v>
      </c>
      <c r="AX572" s="2"/>
      <c r="AY572" s="2" t="n">
        <v>1</v>
      </c>
      <c r="AZ572" s="2"/>
      <c r="BA572" s="2"/>
      <c r="BB572" s="2"/>
      <c r="BC572" s="2"/>
      <c r="BD572" s="4" t="s">
        <v>2029</v>
      </c>
    </row>
    <row r="573" customFormat="false" ht="15" hidden="false" customHeight="false" outlineLevel="0" collapsed="false">
      <c r="A573" s="2" t="n">
        <v>458997</v>
      </c>
      <c r="B573" s="2" t="s">
        <v>2030</v>
      </c>
      <c r="C573" s="2" t="s">
        <v>1998</v>
      </c>
      <c r="D573" s="2" t="s">
        <v>341</v>
      </c>
      <c r="E573" s="2" t="s">
        <v>59</v>
      </c>
      <c r="F573" s="2" t="s">
        <v>70</v>
      </c>
      <c r="G573" s="2" t="s">
        <v>71</v>
      </c>
      <c r="H573" s="2" t="s">
        <v>71</v>
      </c>
      <c r="I573" s="2" t="n">
        <v>21</v>
      </c>
      <c r="J573" s="2" t="n">
        <v>32</v>
      </c>
      <c r="K573" s="2" t="s">
        <v>2031</v>
      </c>
      <c r="L573" s="2" t="s">
        <v>1000</v>
      </c>
      <c r="M573" s="2" t="n">
        <v>178</v>
      </c>
      <c r="N573" s="3" t="n">
        <v>122348</v>
      </c>
      <c r="O573" s="2"/>
      <c r="P573" s="2" t="n">
        <v>8</v>
      </c>
      <c r="Q573" s="3" t="n">
        <v>418</v>
      </c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 t="n">
        <v>5</v>
      </c>
      <c r="AD573" s="2" t="n">
        <v>1.1</v>
      </c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4" t="s">
        <v>2032</v>
      </c>
    </row>
    <row r="574" customFormat="false" ht="15" hidden="false" customHeight="false" outlineLevel="0" collapsed="false">
      <c r="A574" s="2" t="n">
        <v>1921663</v>
      </c>
      <c r="B574" s="2" t="s">
        <v>2033</v>
      </c>
      <c r="C574" s="2" t="s">
        <v>1998</v>
      </c>
      <c r="D574" s="2" t="s">
        <v>341</v>
      </c>
      <c r="E574" s="2" t="s">
        <v>59</v>
      </c>
      <c r="F574" s="2" t="s">
        <v>70</v>
      </c>
      <c r="G574" s="2"/>
      <c r="H574" s="2"/>
      <c r="I574" s="2" t="n">
        <v>42</v>
      </c>
      <c r="J574" s="2" t="n">
        <v>19</v>
      </c>
      <c r="K574" s="2" t="s">
        <v>2034</v>
      </c>
      <c r="L574" s="2" t="s">
        <v>67</v>
      </c>
      <c r="M574" s="2" t="n">
        <v>188</v>
      </c>
      <c r="N574" s="3"/>
      <c r="O574" s="2"/>
      <c r="P574" s="2"/>
      <c r="Q574" s="3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4" t="s">
        <v>2035</v>
      </c>
    </row>
    <row r="575" customFormat="false" ht="15" hidden="false" customHeight="false" outlineLevel="0" collapsed="false">
      <c r="A575" s="2" t="n">
        <v>1938739</v>
      </c>
      <c r="B575" s="2" t="s">
        <v>2036</v>
      </c>
      <c r="C575" s="2" t="s">
        <v>1998</v>
      </c>
      <c r="D575" s="2" t="s">
        <v>341</v>
      </c>
      <c r="E575" s="2" t="s">
        <v>59</v>
      </c>
      <c r="F575" s="2" t="s">
        <v>70</v>
      </c>
      <c r="G575" s="2"/>
      <c r="H575" s="2"/>
      <c r="I575" s="2" t="n">
        <v>43</v>
      </c>
      <c r="J575" s="2" t="n">
        <v>18</v>
      </c>
      <c r="K575" s="2" t="s">
        <v>2037</v>
      </c>
      <c r="L575" s="2" t="s">
        <v>67</v>
      </c>
      <c r="M575" s="2" t="n">
        <v>185</v>
      </c>
      <c r="N575" s="3"/>
      <c r="O575" s="2"/>
      <c r="P575" s="2"/>
      <c r="Q575" s="3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4" t="s">
        <v>2038</v>
      </c>
    </row>
    <row r="576" customFormat="false" ht="15" hidden="false" customHeight="false" outlineLevel="0" collapsed="false">
      <c r="A576" s="2" t="n">
        <v>1073942</v>
      </c>
      <c r="B576" s="2" t="s">
        <v>2039</v>
      </c>
      <c r="C576" s="2" t="s">
        <v>1998</v>
      </c>
      <c r="D576" s="2" t="s">
        <v>341</v>
      </c>
      <c r="E576" s="2" t="s">
        <v>59</v>
      </c>
      <c r="F576" s="2" t="s">
        <v>102</v>
      </c>
      <c r="G576" s="2" t="s">
        <v>103</v>
      </c>
      <c r="H576" s="2" t="s">
        <v>123</v>
      </c>
      <c r="I576" s="2" t="n">
        <v>27</v>
      </c>
      <c r="J576" s="2" t="n">
        <v>29</v>
      </c>
      <c r="K576" s="2" t="s">
        <v>2040</v>
      </c>
      <c r="L576" s="2" t="s">
        <v>67</v>
      </c>
      <c r="M576" s="2" t="n">
        <v>176</v>
      </c>
      <c r="N576" s="3" t="n">
        <v>50000</v>
      </c>
      <c r="O576" s="2"/>
      <c r="P576" s="2" t="n">
        <v>22</v>
      </c>
      <c r="Q576" s="3" t="n">
        <v>1661</v>
      </c>
      <c r="R576" s="2" t="n">
        <v>6.97</v>
      </c>
      <c r="S576" s="2" t="n">
        <v>0</v>
      </c>
      <c r="T576" s="2"/>
      <c r="U576" s="2"/>
      <c r="V576" s="2" t="n">
        <v>1</v>
      </c>
      <c r="W576" s="2"/>
      <c r="X576" s="2"/>
      <c r="Y576" s="2" t="n">
        <v>0.6</v>
      </c>
      <c r="Z576" s="2" t="n">
        <v>0.2</v>
      </c>
      <c r="AA576" s="2" t="n">
        <v>0</v>
      </c>
      <c r="AB576" s="2" t="n">
        <v>2</v>
      </c>
      <c r="AC576" s="2" t="n">
        <v>6</v>
      </c>
      <c r="AD576" s="2" t="n">
        <v>0.3</v>
      </c>
      <c r="AE576" s="2" t="n">
        <v>1</v>
      </c>
      <c r="AF576" s="2" t="n">
        <v>51</v>
      </c>
      <c r="AG576" s="2" t="n">
        <v>89.9</v>
      </c>
      <c r="AH576" s="2" t="n">
        <v>1.9</v>
      </c>
      <c r="AI576" s="2" t="n">
        <v>44.3</v>
      </c>
      <c r="AJ576" s="2" t="n">
        <v>0.3</v>
      </c>
      <c r="AK576" s="2" t="n">
        <v>54.5</v>
      </c>
      <c r="AL576" s="2"/>
      <c r="AM576" s="2"/>
      <c r="AN576" s="2" t="n">
        <v>4.6</v>
      </c>
      <c r="AO576" s="2" t="n">
        <v>2</v>
      </c>
      <c r="AP576" s="2" t="n">
        <v>1.4</v>
      </c>
      <c r="AQ576" s="2" t="n">
        <v>1</v>
      </c>
      <c r="AR576" s="2" t="n">
        <v>0.2</v>
      </c>
      <c r="AS576" s="2" t="n">
        <v>3.4</v>
      </c>
      <c r="AT576" s="2" t="n">
        <v>0.3</v>
      </c>
      <c r="AU576" s="2" t="n">
        <v>1.9</v>
      </c>
      <c r="AV576" s="2" t="n">
        <v>1.5</v>
      </c>
      <c r="AW576" s="2" t="n">
        <v>7</v>
      </c>
      <c r="AX576" s="2"/>
      <c r="AY576" s="2"/>
      <c r="AZ576" s="2"/>
      <c r="BA576" s="2"/>
      <c r="BB576" s="2"/>
      <c r="BC576" s="2"/>
      <c r="BD576" s="4" t="s">
        <v>2041</v>
      </c>
    </row>
    <row r="577" customFormat="false" ht="15" hidden="false" customHeight="false" outlineLevel="0" collapsed="false">
      <c r="A577" s="2" t="n">
        <v>621886</v>
      </c>
      <c r="B577" s="2" t="s">
        <v>2042</v>
      </c>
      <c r="C577" s="2" t="s">
        <v>1998</v>
      </c>
      <c r="D577" s="2" t="s">
        <v>341</v>
      </c>
      <c r="E577" s="2" t="s">
        <v>59</v>
      </c>
      <c r="F577" s="2" t="s">
        <v>102</v>
      </c>
      <c r="G577" s="2" t="s">
        <v>113</v>
      </c>
      <c r="H577" s="2" t="s">
        <v>1899</v>
      </c>
      <c r="I577" s="2" t="n">
        <v>8</v>
      </c>
      <c r="J577" s="2" t="n">
        <v>30</v>
      </c>
      <c r="K577" s="2" t="s">
        <v>2043</v>
      </c>
      <c r="L577" s="2" t="s">
        <v>67</v>
      </c>
      <c r="M577" s="2" t="n">
        <v>173</v>
      </c>
      <c r="N577" s="3" t="n">
        <v>107580</v>
      </c>
      <c r="O577" s="2"/>
      <c r="P577" s="2" t="n">
        <v>18</v>
      </c>
      <c r="Q577" s="3" t="n">
        <v>1542</v>
      </c>
      <c r="R577" s="2" t="n">
        <v>7.66</v>
      </c>
      <c r="S577" s="2" t="n">
        <v>3</v>
      </c>
      <c r="T577" s="2" t="n">
        <v>4</v>
      </c>
      <c r="U577" s="2" t="n">
        <v>1</v>
      </c>
      <c r="V577" s="2" t="n">
        <v>6</v>
      </c>
      <c r="W577" s="2"/>
      <c r="X577" s="2" t="n">
        <v>0.23</v>
      </c>
      <c r="Y577" s="2" t="n">
        <v>2.3</v>
      </c>
      <c r="Z577" s="2" t="n">
        <v>0.5</v>
      </c>
      <c r="AA577" s="2" t="n">
        <v>10</v>
      </c>
      <c r="AB577" s="2" t="n">
        <v>4</v>
      </c>
      <c r="AC577" s="2" t="n">
        <v>51</v>
      </c>
      <c r="AD577" s="2" t="n">
        <v>3</v>
      </c>
      <c r="AE577" s="2" t="n">
        <v>9</v>
      </c>
      <c r="AF577" s="2" t="n">
        <v>33.2</v>
      </c>
      <c r="AG577" s="2" t="n">
        <v>81</v>
      </c>
      <c r="AH577" s="2" t="n">
        <v>2.5</v>
      </c>
      <c r="AI577" s="2" t="n">
        <v>55.3</v>
      </c>
      <c r="AJ577" s="2" t="n">
        <v>1</v>
      </c>
      <c r="AK577" s="2" t="n">
        <v>60.7</v>
      </c>
      <c r="AL577" s="2"/>
      <c r="AM577" s="2"/>
      <c r="AN577" s="2" t="n">
        <v>2.5</v>
      </c>
      <c r="AO577" s="2" t="n">
        <v>1.1</v>
      </c>
      <c r="AP577" s="2" t="n">
        <v>0.5</v>
      </c>
      <c r="AQ577" s="2" t="n">
        <v>0.9</v>
      </c>
      <c r="AR577" s="2" t="n">
        <v>0.1</v>
      </c>
      <c r="AS577" s="2" t="n">
        <v>3.3</v>
      </c>
      <c r="AT577" s="2" t="n">
        <v>0.5</v>
      </c>
      <c r="AU577" s="2" t="n">
        <v>1.9</v>
      </c>
      <c r="AV577" s="2" t="n">
        <v>1.2</v>
      </c>
      <c r="AW577" s="2" t="n">
        <v>2</v>
      </c>
      <c r="AX577" s="2"/>
      <c r="AY577" s="2"/>
      <c r="AZ577" s="2"/>
      <c r="BA577" s="2"/>
      <c r="BB577" s="2"/>
      <c r="BC577" s="2"/>
      <c r="BD577" s="4" t="s">
        <v>2044</v>
      </c>
    </row>
    <row r="578" customFormat="false" ht="15" hidden="false" customHeight="false" outlineLevel="0" collapsed="false">
      <c r="A578" s="2" t="n">
        <v>1520638</v>
      </c>
      <c r="B578" s="2" t="s">
        <v>2045</v>
      </c>
      <c r="C578" s="2" t="s">
        <v>1998</v>
      </c>
      <c r="D578" s="2" t="s">
        <v>341</v>
      </c>
      <c r="E578" s="2" t="s">
        <v>59</v>
      </c>
      <c r="F578" s="2" t="s">
        <v>102</v>
      </c>
      <c r="G578" s="2" t="s">
        <v>133</v>
      </c>
      <c r="H578" s="2" t="s">
        <v>2046</v>
      </c>
      <c r="I578" s="2" t="n">
        <v>20</v>
      </c>
      <c r="J578" s="2" t="n">
        <v>19</v>
      </c>
      <c r="K578" s="2" t="s">
        <v>2047</v>
      </c>
      <c r="L578" s="2" t="s">
        <v>67</v>
      </c>
      <c r="M578" s="2" t="n">
        <v>170</v>
      </c>
      <c r="N578" s="3" t="n">
        <v>530546</v>
      </c>
      <c r="O578" s="2"/>
      <c r="P578" s="2" t="n">
        <v>20</v>
      </c>
      <c r="Q578" s="3" t="n">
        <v>1253</v>
      </c>
      <c r="R578" s="2" t="n">
        <v>6.54</v>
      </c>
      <c r="S578" s="2" t="n">
        <v>0</v>
      </c>
      <c r="T578" s="2" t="n">
        <v>1</v>
      </c>
      <c r="U578" s="2" t="n">
        <v>0</v>
      </c>
      <c r="V578" s="2"/>
      <c r="W578" s="2"/>
      <c r="X578" s="2" t="n">
        <v>0.07</v>
      </c>
      <c r="Y578" s="2" t="n">
        <v>1.4</v>
      </c>
      <c r="Z578" s="2" t="n">
        <v>0.4</v>
      </c>
      <c r="AA578" s="2" t="n">
        <v>5</v>
      </c>
      <c r="AB578" s="2"/>
      <c r="AC578" s="2" t="n">
        <v>7</v>
      </c>
      <c r="AD578" s="2" t="n">
        <v>0.5</v>
      </c>
      <c r="AE578" s="2"/>
      <c r="AF578" s="2" t="n">
        <v>22.4</v>
      </c>
      <c r="AG578" s="2" t="n">
        <v>80.2</v>
      </c>
      <c r="AH578" s="2" t="n">
        <v>1.1</v>
      </c>
      <c r="AI578" s="2" t="n">
        <v>51.6</v>
      </c>
      <c r="AJ578" s="2" t="n">
        <v>0.2</v>
      </c>
      <c r="AK578" s="2" t="n">
        <v>27.3</v>
      </c>
      <c r="AL578" s="2"/>
      <c r="AM578" s="2"/>
      <c r="AN578" s="2" t="n">
        <v>2.4</v>
      </c>
      <c r="AO578" s="2" t="n">
        <v>1.1</v>
      </c>
      <c r="AP578" s="2" t="n">
        <v>0.4</v>
      </c>
      <c r="AQ578" s="2" t="n">
        <v>0.8</v>
      </c>
      <c r="AR578" s="2" t="n">
        <v>0.1</v>
      </c>
      <c r="AS578" s="2" t="n">
        <v>2.6</v>
      </c>
      <c r="AT578" s="2" t="n">
        <v>0.1</v>
      </c>
      <c r="AU578" s="2" t="n">
        <v>1.9</v>
      </c>
      <c r="AV578" s="2" t="n">
        <v>1.3</v>
      </c>
      <c r="AW578" s="2" t="n">
        <v>3</v>
      </c>
      <c r="AX578" s="2"/>
      <c r="AY578" s="2"/>
      <c r="AZ578" s="2"/>
      <c r="BA578" s="2"/>
      <c r="BB578" s="2"/>
      <c r="BC578" s="2"/>
      <c r="BD578" s="4" t="s">
        <v>2048</v>
      </c>
    </row>
    <row r="579" customFormat="false" ht="15" hidden="false" customHeight="false" outlineLevel="0" collapsed="false">
      <c r="A579" s="2" t="n">
        <v>632748</v>
      </c>
      <c r="B579" s="2" t="s">
        <v>2049</v>
      </c>
      <c r="C579" s="2" t="s">
        <v>1998</v>
      </c>
      <c r="D579" s="2" t="s">
        <v>341</v>
      </c>
      <c r="E579" s="2" t="s">
        <v>59</v>
      </c>
      <c r="F579" s="2" t="s">
        <v>102</v>
      </c>
      <c r="G579" s="2" t="s">
        <v>103</v>
      </c>
      <c r="H579" s="2" t="s">
        <v>103</v>
      </c>
      <c r="I579" s="2" t="n">
        <v>18</v>
      </c>
      <c r="J579" s="2" t="n">
        <v>31</v>
      </c>
      <c r="K579" s="2" t="s">
        <v>2050</v>
      </c>
      <c r="L579" s="2" t="s">
        <v>116</v>
      </c>
      <c r="M579" s="2" t="n">
        <v>188</v>
      </c>
      <c r="N579" s="3" t="n">
        <v>386367</v>
      </c>
      <c r="O579" s="2"/>
      <c r="P579" s="2" t="n">
        <v>15</v>
      </c>
      <c r="Q579" s="3" t="n">
        <v>1148</v>
      </c>
      <c r="R579" s="2" t="n">
        <v>7.39</v>
      </c>
      <c r="S579" s="2" t="n">
        <v>2</v>
      </c>
      <c r="T579" s="2" t="n">
        <v>1</v>
      </c>
      <c r="U579" s="2" t="n">
        <v>0</v>
      </c>
      <c r="V579" s="2" t="n">
        <v>2</v>
      </c>
      <c r="W579" s="2"/>
      <c r="X579" s="2" t="n">
        <v>0.08</v>
      </c>
      <c r="Y579" s="2" t="n">
        <v>0.9</v>
      </c>
      <c r="Z579" s="2" t="n">
        <v>0.2</v>
      </c>
      <c r="AA579" s="2" t="n">
        <v>9.1</v>
      </c>
      <c r="AB579" s="2" t="n">
        <v>2</v>
      </c>
      <c r="AC579" s="2" t="n">
        <v>14</v>
      </c>
      <c r="AD579" s="2" t="n">
        <v>1.1</v>
      </c>
      <c r="AE579" s="2" t="n">
        <v>1</v>
      </c>
      <c r="AF579" s="2" t="n">
        <v>40.9</v>
      </c>
      <c r="AG579" s="2" t="n">
        <v>83.9</v>
      </c>
      <c r="AH579" s="2" t="n">
        <v>2.4</v>
      </c>
      <c r="AI579" s="2" t="n">
        <v>57.4</v>
      </c>
      <c r="AJ579" s="2" t="n">
        <v>0.8</v>
      </c>
      <c r="AK579" s="2" t="n">
        <v>45.5</v>
      </c>
      <c r="AL579" s="2" t="n">
        <v>1</v>
      </c>
      <c r="AM579" s="2" t="n">
        <v>1.5</v>
      </c>
      <c r="AN579" s="2" t="n">
        <v>6.2</v>
      </c>
      <c r="AO579" s="2" t="n">
        <v>3.2</v>
      </c>
      <c r="AP579" s="2" t="n">
        <v>1</v>
      </c>
      <c r="AQ579" s="2" t="n">
        <v>1.5</v>
      </c>
      <c r="AR579" s="2" t="n">
        <v>0.5</v>
      </c>
      <c r="AS579" s="2" t="n">
        <v>5.4</v>
      </c>
      <c r="AT579" s="2" t="n">
        <v>0.4</v>
      </c>
      <c r="AU579" s="2" t="n">
        <v>2.6</v>
      </c>
      <c r="AV579" s="2" t="n">
        <v>1.8</v>
      </c>
      <c r="AW579" s="2" t="n">
        <v>3</v>
      </c>
      <c r="AX579" s="2"/>
      <c r="AY579" s="2" t="n">
        <v>1</v>
      </c>
      <c r="AZ579" s="2"/>
      <c r="BA579" s="2"/>
      <c r="BB579" s="2"/>
      <c r="BC579" s="2"/>
      <c r="BD579" s="4" t="s">
        <v>2051</v>
      </c>
    </row>
    <row r="580" customFormat="false" ht="15" hidden="false" customHeight="false" outlineLevel="0" collapsed="false">
      <c r="A580" s="2" t="n">
        <v>1644458</v>
      </c>
      <c r="B580" s="2" t="s">
        <v>2052</v>
      </c>
      <c r="C580" s="2" t="s">
        <v>1998</v>
      </c>
      <c r="D580" s="2" t="s">
        <v>341</v>
      </c>
      <c r="E580" s="2" t="s">
        <v>59</v>
      </c>
      <c r="F580" s="2" t="s">
        <v>102</v>
      </c>
      <c r="G580" s="2" t="s">
        <v>133</v>
      </c>
      <c r="H580" s="2" t="s">
        <v>322</v>
      </c>
      <c r="I580" s="2" t="n">
        <v>19</v>
      </c>
      <c r="J580" s="2" t="n">
        <v>24</v>
      </c>
      <c r="K580" s="2" t="s">
        <v>2053</v>
      </c>
      <c r="L580" s="2" t="s">
        <v>234</v>
      </c>
      <c r="M580" s="2" t="n">
        <v>175</v>
      </c>
      <c r="N580" s="3" t="n">
        <v>50867</v>
      </c>
      <c r="O580" s="2"/>
      <c r="P580" s="2" t="n">
        <v>17</v>
      </c>
      <c r="Q580" s="3" t="n">
        <v>562</v>
      </c>
      <c r="R580" s="2" t="n">
        <v>6.51</v>
      </c>
      <c r="S580" s="2" t="n">
        <v>0</v>
      </c>
      <c r="T580" s="2"/>
      <c r="U580" s="2"/>
      <c r="V580" s="2"/>
      <c r="W580" s="2"/>
      <c r="X580" s="2"/>
      <c r="Y580" s="2" t="n">
        <v>2.9</v>
      </c>
      <c r="Z580" s="2" t="n">
        <v>1.1</v>
      </c>
      <c r="AA580" s="2" t="n">
        <v>0</v>
      </c>
      <c r="AB580" s="2" t="n">
        <v>3</v>
      </c>
      <c r="AC580" s="2" t="n">
        <v>9</v>
      </c>
      <c r="AD580" s="2" t="n">
        <v>1.4</v>
      </c>
      <c r="AE580" s="2" t="n">
        <v>1</v>
      </c>
      <c r="AF580" s="2" t="n">
        <v>21.8</v>
      </c>
      <c r="AG580" s="2" t="n">
        <v>76.8</v>
      </c>
      <c r="AH580" s="2" t="n">
        <v>0.8</v>
      </c>
      <c r="AI580" s="2" t="n">
        <v>35.7</v>
      </c>
      <c r="AJ580" s="2" t="n">
        <v>1.4</v>
      </c>
      <c r="AK580" s="2" t="n">
        <v>45</v>
      </c>
      <c r="AL580" s="2"/>
      <c r="AM580" s="2"/>
      <c r="AN580" s="2" t="n">
        <v>3.2</v>
      </c>
      <c r="AO580" s="2" t="n">
        <v>2.1</v>
      </c>
      <c r="AP580" s="2" t="n">
        <v>0.6</v>
      </c>
      <c r="AQ580" s="2" t="n">
        <v>0.5</v>
      </c>
      <c r="AR580" s="2"/>
      <c r="AS580" s="2" t="n">
        <v>3.5</v>
      </c>
      <c r="AT580" s="2" t="n">
        <v>0.3</v>
      </c>
      <c r="AU580" s="2" t="n">
        <v>1.9</v>
      </c>
      <c r="AV580" s="2" t="n">
        <v>2.1</v>
      </c>
      <c r="AW580" s="2" t="n">
        <v>1</v>
      </c>
      <c r="AX580" s="2"/>
      <c r="AY580" s="2"/>
      <c r="AZ580" s="2"/>
      <c r="BA580" s="2"/>
      <c r="BB580" s="2"/>
      <c r="BC580" s="2"/>
      <c r="BD580" s="4" t="s">
        <v>2054</v>
      </c>
    </row>
    <row r="581" customFormat="false" ht="15" hidden="false" customHeight="false" outlineLevel="0" collapsed="false">
      <c r="A581" s="2" t="n">
        <v>1626273</v>
      </c>
      <c r="B581" s="2" t="s">
        <v>2055</v>
      </c>
      <c r="C581" s="2" t="s">
        <v>1998</v>
      </c>
      <c r="D581" s="2" t="s">
        <v>341</v>
      </c>
      <c r="E581" s="2" t="s">
        <v>59</v>
      </c>
      <c r="F581" s="2" t="s">
        <v>102</v>
      </c>
      <c r="G581" s="2" t="s">
        <v>103</v>
      </c>
      <c r="H581" s="2" t="s">
        <v>103</v>
      </c>
      <c r="I581" s="2" t="n">
        <v>24</v>
      </c>
      <c r="J581" s="2" t="n">
        <v>26</v>
      </c>
      <c r="K581" s="2" t="s">
        <v>2056</v>
      </c>
      <c r="L581" s="2" t="s">
        <v>319</v>
      </c>
      <c r="M581" s="2" t="n">
        <v>175</v>
      </c>
      <c r="N581" s="3"/>
      <c r="O581" s="2"/>
      <c r="P581" s="2"/>
      <c r="Q581" s="3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4" t="s">
        <v>2057</v>
      </c>
    </row>
    <row r="582" customFormat="false" ht="15" hidden="false" customHeight="false" outlineLevel="0" collapsed="false">
      <c r="A582" s="2" t="n">
        <v>1178821</v>
      </c>
      <c r="B582" s="2" t="s">
        <v>2058</v>
      </c>
      <c r="C582" s="2" t="s">
        <v>1998</v>
      </c>
      <c r="D582" s="2" t="s">
        <v>341</v>
      </c>
      <c r="E582" s="2" t="s">
        <v>59</v>
      </c>
      <c r="F582" s="2" t="s">
        <v>137</v>
      </c>
      <c r="G582" s="2" t="s">
        <v>138</v>
      </c>
      <c r="H582" s="2" t="s">
        <v>2059</v>
      </c>
      <c r="I582" s="2" t="n">
        <v>7</v>
      </c>
      <c r="J582" s="2" t="n">
        <v>29</v>
      </c>
      <c r="K582" s="2" t="s">
        <v>2060</v>
      </c>
      <c r="L582" s="2" t="s">
        <v>2061</v>
      </c>
      <c r="M582" s="2" t="n">
        <v>185</v>
      </c>
      <c r="N582" s="3" t="n">
        <v>50000</v>
      </c>
      <c r="O582" s="2"/>
      <c r="P582" s="2" t="n">
        <v>22</v>
      </c>
      <c r="Q582" s="3" t="n">
        <v>1422</v>
      </c>
      <c r="R582" s="2" t="n">
        <v>6.48</v>
      </c>
      <c r="S582" s="2" t="n">
        <v>0</v>
      </c>
      <c r="T582" s="2" t="n">
        <v>1</v>
      </c>
      <c r="U582" s="2" t="n">
        <v>0</v>
      </c>
      <c r="V582" s="2" t="n">
        <v>1</v>
      </c>
      <c r="W582" s="2"/>
      <c r="X582" s="2" t="n">
        <v>0.06</v>
      </c>
      <c r="Y582" s="2" t="n">
        <v>1.8</v>
      </c>
      <c r="Z582" s="2" t="n">
        <v>0.3</v>
      </c>
      <c r="AA582" s="2" t="n">
        <v>3.6</v>
      </c>
      <c r="AB582" s="2" t="n">
        <v>3</v>
      </c>
      <c r="AC582" s="2" t="n">
        <v>18</v>
      </c>
      <c r="AD582" s="2" t="n">
        <v>1.1</v>
      </c>
      <c r="AE582" s="2" t="n">
        <v>4</v>
      </c>
      <c r="AF582" s="2" t="n">
        <v>14.4</v>
      </c>
      <c r="AG582" s="2" t="n">
        <v>71.9</v>
      </c>
      <c r="AH582" s="2" t="n">
        <v>0.2</v>
      </c>
      <c r="AI582" s="2" t="n">
        <v>60</v>
      </c>
      <c r="AJ582" s="2" t="n">
        <v>1.8</v>
      </c>
      <c r="AK582" s="2" t="n">
        <v>33.7</v>
      </c>
      <c r="AL582" s="2"/>
      <c r="AM582" s="2"/>
      <c r="AN582" s="2" t="n">
        <v>1.2</v>
      </c>
      <c r="AO582" s="2" t="n">
        <v>0.5</v>
      </c>
      <c r="AP582" s="2" t="n">
        <v>0.2</v>
      </c>
      <c r="AQ582" s="2" t="n">
        <v>0.3</v>
      </c>
      <c r="AR582" s="2" t="n">
        <v>0.3</v>
      </c>
      <c r="AS582" s="2" t="n">
        <v>3.1</v>
      </c>
      <c r="AT582" s="2" t="n">
        <v>0.9</v>
      </c>
      <c r="AU582" s="2" t="n">
        <v>1.5</v>
      </c>
      <c r="AV582" s="2" t="n">
        <v>1.3</v>
      </c>
      <c r="AW582" s="2" t="n">
        <v>2</v>
      </c>
      <c r="AX582" s="2"/>
      <c r="AY582" s="2"/>
      <c r="AZ582" s="2"/>
      <c r="BA582" s="2"/>
      <c r="BB582" s="2"/>
      <c r="BC582" s="2"/>
      <c r="BD582" s="4" t="s">
        <v>2062</v>
      </c>
    </row>
    <row r="583" customFormat="false" ht="15" hidden="false" customHeight="false" outlineLevel="0" collapsed="false">
      <c r="A583" s="2" t="n">
        <v>1600917</v>
      </c>
      <c r="B583" s="2" t="s">
        <v>2063</v>
      </c>
      <c r="C583" s="2" t="s">
        <v>1998</v>
      </c>
      <c r="D583" s="2" t="s">
        <v>341</v>
      </c>
      <c r="E583" s="2" t="s">
        <v>59</v>
      </c>
      <c r="F583" s="2" t="s">
        <v>137</v>
      </c>
      <c r="G583" s="2" t="s">
        <v>147</v>
      </c>
      <c r="H583" s="2" t="s">
        <v>147</v>
      </c>
      <c r="I583" s="2" t="n">
        <v>11</v>
      </c>
      <c r="J583" s="2" t="n">
        <v>25</v>
      </c>
      <c r="K583" s="2" t="s">
        <v>2064</v>
      </c>
      <c r="L583" s="2" t="s">
        <v>105</v>
      </c>
      <c r="M583" s="2" t="n">
        <v>188</v>
      </c>
      <c r="N583" s="3" t="n">
        <v>83192</v>
      </c>
      <c r="O583" s="2"/>
      <c r="P583" s="2" t="n">
        <v>17</v>
      </c>
      <c r="Q583" s="3" t="n">
        <v>1059</v>
      </c>
      <c r="R583" s="2" t="n">
        <v>6.47</v>
      </c>
      <c r="S583" s="2" t="n">
        <v>0</v>
      </c>
      <c r="T583" s="2" t="n">
        <v>3</v>
      </c>
      <c r="U583" s="2" t="n">
        <v>0</v>
      </c>
      <c r="V583" s="2" t="n">
        <v>1</v>
      </c>
      <c r="W583" s="2"/>
      <c r="X583" s="2" t="n">
        <v>0.25</v>
      </c>
      <c r="Y583" s="2" t="n">
        <v>1.8</v>
      </c>
      <c r="Z583" s="2" t="n">
        <v>0.8</v>
      </c>
      <c r="AA583" s="2" t="n">
        <v>14.3</v>
      </c>
      <c r="AB583" s="2" t="n">
        <v>5</v>
      </c>
      <c r="AC583" s="2" t="n">
        <v>9</v>
      </c>
      <c r="AD583" s="2" t="n">
        <v>0.8</v>
      </c>
      <c r="AE583" s="2" t="n">
        <v>2</v>
      </c>
      <c r="AF583" s="2" t="n">
        <v>10.4</v>
      </c>
      <c r="AG583" s="2" t="n">
        <v>68.5</v>
      </c>
      <c r="AH583" s="2" t="n">
        <v>0.2</v>
      </c>
      <c r="AI583" s="2" t="n">
        <v>40</v>
      </c>
      <c r="AJ583" s="2" t="n">
        <v>0.3</v>
      </c>
      <c r="AK583" s="2" t="n">
        <v>40</v>
      </c>
      <c r="AL583" s="2"/>
      <c r="AM583" s="2"/>
      <c r="AN583" s="2" t="n">
        <v>2</v>
      </c>
      <c r="AO583" s="2" t="n">
        <v>0.2</v>
      </c>
      <c r="AP583" s="2" t="n">
        <v>0.2</v>
      </c>
      <c r="AQ583" s="2" t="n">
        <v>1.4</v>
      </c>
      <c r="AR583" s="2" t="n">
        <v>0.3</v>
      </c>
      <c r="AS583" s="2" t="n">
        <v>2.1</v>
      </c>
      <c r="AT583" s="2" t="n">
        <v>0.3</v>
      </c>
      <c r="AU583" s="2" t="n">
        <v>1.4</v>
      </c>
      <c r="AV583" s="2" t="n">
        <v>2.2</v>
      </c>
      <c r="AW583" s="2" t="n">
        <v>3</v>
      </c>
      <c r="AX583" s="2" t="n">
        <v>1</v>
      </c>
      <c r="AY583" s="2"/>
      <c r="AZ583" s="2"/>
      <c r="BA583" s="2"/>
      <c r="BB583" s="2"/>
      <c r="BC583" s="2"/>
      <c r="BD583" s="4" t="s">
        <v>2065</v>
      </c>
    </row>
    <row r="584" customFormat="false" ht="15" hidden="false" customHeight="false" outlineLevel="0" collapsed="false">
      <c r="A584" s="2" t="n">
        <v>1056536</v>
      </c>
      <c r="B584" s="2" t="s">
        <v>2066</v>
      </c>
      <c r="C584" s="2" t="s">
        <v>1998</v>
      </c>
      <c r="D584" s="2" t="s">
        <v>341</v>
      </c>
      <c r="E584" s="2" t="s">
        <v>59</v>
      </c>
      <c r="F584" s="2" t="s">
        <v>137</v>
      </c>
      <c r="G584" s="2" t="s">
        <v>133</v>
      </c>
      <c r="H584" s="2" t="s">
        <v>2067</v>
      </c>
      <c r="I584" s="2" t="n">
        <v>10</v>
      </c>
      <c r="J584" s="2" t="n">
        <v>27</v>
      </c>
      <c r="K584" s="2" t="s">
        <v>1117</v>
      </c>
      <c r="L584" s="2" t="s">
        <v>67</v>
      </c>
      <c r="M584" s="2" t="n">
        <v>173</v>
      </c>
      <c r="N584" s="3" t="n">
        <v>52582</v>
      </c>
      <c r="O584" s="2"/>
      <c r="P584" s="2" t="n">
        <v>18</v>
      </c>
      <c r="Q584" s="3" t="n">
        <v>956</v>
      </c>
      <c r="R584" s="2" t="n">
        <v>6.86</v>
      </c>
      <c r="S584" s="2" t="n">
        <v>1</v>
      </c>
      <c r="T584" s="2" t="n">
        <v>1</v>
      </c>
      <c r="U584" s="2" t="n">
        <v>0</v>
      </c>
      <c r="V584" s="2" t="n">
        <v>3</v>
      </c>
      <c r="W584" s="2"/>
      <c r="X584" s="2" t="n">
        <v>0.09</v>
      </c>
      <c r="Y584" s="2" t="n">
        <v>1.6</v>
      </c>
      <c r="Z584" s="2" t="n">
        <v>0.6</v>
      </c>
      <c r="AA584" s="2" t="n">
        <v>5.9</v>
      </c>
      <c r="AB584" s="2"/>
      <c r="AC584" s="2" t="n">
        <v>15</v>
      </c>
      <c r="AD584" s="2" t="n">
        <v>1.4</v>
      </c>
      <c r="AE584" s="2" t="n">
        <v>3</v>
      </c>
      <c r="AF584" s="2" t="n">
        <v>27.7</v>
      </c>
      <c r="AG584" s="2" t="n">
        <v>77.2</v>
      </c>
      <c r="AH584" s="2" t="n">
        <v>0.7</v>
      </c>
      <c r="AI584" s="2" t="n">
        <v>36.8</v>
      </c>
      <c r="AJ584" s="2" t="n">
        <v>0.3</v>
      </c>
      <c r="AK584" s="2" t="n">
        <v>27.3</v>
      </c>
      <c r="AL584" s="2"/>
      <c r="AM584" s="2"/>
      <c r="AN584" s="2" t="n">
        <v>2.8</v>
      </c>
      <c r="AO584" s="2" t="n">
        <v>1.5</v>
      </c>
      <c r="AP584" s="2" t="n">
        <v>0.9</v>
      </c>
      <c r="AQ584" s="2" t="n">
        <v>0.4</v>
      </c>
      <c r="AR584" s="2"/>
      <c r="AS584" s="2" t="n">
        <v>3.5</v>
      </c>
      <c r="AT584" s="2" t="n">
        <v>0.7</v>
      </c>
      <c r="AU584" s="2" t="n">
        <v>1.6</v>
      </c>
      <c r="AV584" s="2" t="n">
        <v>1</v>
      </c>
      <c r="AW584" s="2" t="n">
        <v>3</v>
      </c>
      <c r="AX584" s="2"/>
      <c r="AY584" s="2"/>
      <c r="AZ584" s="2"/>
      <c r="BA584" s="2"/>
      <c r="BB584" s="2"/>
      <c r="BC584" s="2"/>
      <c r="BD584" s="4" t="s">
        <v>2068</v>
      </c>
    </row>
    <row r="585" customFormat="false" ht="15" hidden="false" customHeight="false" outlineLevel="0" collapsed="false">
      <c r="A585" s="2" t="n">
        <v>1166552</v>
      </c>
      <c r="B585" s="2" t="s">
        <v>2069</v>
      </c>
      <c r="C585" s="2" t="s">
        <v>1998</v>
      </c>
      <c r="D585" s="2" t="s">
        <v>341</v>
      </c>
      <c r="E585" s="2" t="s">
        <v>59</v>
      </c>
      <c r="F585" s="2" t="s">
        <v>137</v>
      </c>
      <c r="G585" s="2" t="s">
        <v>147</v>
      </c>
      <c r="H585" s="2" t="s">
        <v>1698</v>
      </c>
      <c r="I585" s="2" t="n">
        <v>16</v>
      </c>
      <c r="J585" s="2" t="n">
        <v>23</v>
      </c>
      <c r="K585" s="2" t="s">
        <v>768</v>
      </c>
      <c r="L585" s="2" t="s">
        <v>67</v>
      </c>
      <c r="M585" s="2" t="n">
        <v>175</v>
      </c>
      <c r="N585" s="3" t="n">
        <v>124152</v>
      </c>
      <c r="O585" s="2"/>
      <c r="P585" s="2" t="n">
        <v>17</v>
      </c>
      <c r="Q585" s="3" t="n">
        <v>882</v>
      </c>
      <c r="R585" s="2" t="n">
        <v>6.63</v>
      </c>
      <c r="S585" s="2" t="n">
        <v>1</v>
      </c>
      <c r="T585" s="2" t="n">
        <v>4</v>
      </c>
      <c r="U585" s="2" t="n">
        <v>0</v>
      </c>
      <c r="V585" s="2"/>
      <c r="W585" s="2"/>
      <c r="X585" s="2" t="n">
        <v>0.41</v>
      </c>
      <c r="Y585" s="2" t="n">
        <v>1</v>
      </c>
      <c r="Z585" s="2" t="n">
        <v>0.7</v>
      </c>
      <c r="AA585" s="2" t="n">
        <v>40</v>
      </c>
      <c r="AB585" s="2" t="n">
        <v>2</v>
      </c>
      <c r="AC585" s="2" t="n">
        <v>6</v>
      </c>
      <c r="AD585" s="2" t="n">
        <v>0.6</v>
      </c>
      <c r="AE585" s="2"/>
      <c r="AF585" s="2" t="n">
        <v>18.4</v>
      </c>
      <c r="AG585" s="2" t="n">
        <v>80.4</v>
      </c>
      <c r="AH585" s="2" t="n">
        <v>1.2</v>
      </c>
      <c r="AI585" s="2" t="n">
        <v>75</v>
      </c>
      <c r="AJ585" s="2" t="n">
        <v>1.1</v>
      </c>
      <c r="AK585" s="2" t="n">
        <v>57.9</v>
      </c>
      <c r="AL585" s="2"/>
      <c r="AM585" s="2"/>
      <c r="AN585" s="2" t="n">
        <v>1.3</v>
      </c>
      <c r="AO585" s="2" t="n">
        <v>0.9</v>
      </c>
      <c r="AP585" s="2" t="n">
        <v>0.1</v>
      </c>
      <c r="AQ585" s="2" t="n">
        <v>0.3</v>
      </c>
      <c r="AR585" s="2"/>
      <c r="AS585" s="2" t="n">
        <v>2.3</v>
      </c>
      <c r="AT585" s="2" t="n">
        <v>0.6</v>
      </c>
      <c r="AU585" s="2" t="n">
        <v>1.2</v>
      </c>
      <c r="AV585" s="2" t="n">
        <v>1.6</v>
      </c>
      <c r="AW585" s="2" t="n">
        <v>1</v>
      </c>
      <c r="AX585" s="2"/>
      <c r="AY585" s="2"/>
      <c r="AZ585" s="2"/>
      <c r="BA585" s="2"/>
      <c r="BB585" s="2"/>
      <c r="BC585" s="2"/>
      <c r="BD585" s="4" t="s">
        <v>2070</v>
      </c>
    </row>
    <row r="586" customFormat="false" ht="15" hidden="false" customHeight="false" outlineLevel="0" collapsed="false">
      <c r="A586" s="2" t="n">
        <v>647068</v>
      </c>
      <c r="B586" s="2" t="s">
        <v>2071</v>
      </c>
      <c r="C586" s="2" t="s">
        <v>1998</v>
      </c>
      <c r="D586" s="2" t="s">
        <v>341</v>
      </c>
      <c r="E586" s="2" t="s">
        <v>59</v>
      </c>
      <c r="F586" s="2" t="s">
        <v>137</v>
      </c>
      <c r="G586" s="2" t="s">
        <v>147</v>
      </c>
      <c r="H586" s="2" t="s">
        <v>147</v>
      </c>
      <c r="I586" s="2" t="n">
        <v>71</v>
      </c>
      <c r="J586" s="2" t="n">
        <v>29</v>
      </c>
      <c r="K586" s="2" t="s">
        <v>2072</v>
      </c>
      <c r="L586" s="2" t="s">
        <v>991</v>
      </c>
      <c r="M586" s="2" t="n">
        <v>185</v>
      </c>
      <c r="N586" s="3" t="n">
        <v>50000</v>
      </c>
      <c r="O586" s="2"/>
      <c r="P586" s="2" t="n">
        <v>23</v>
      </c>
      <c r="Q586" s="3" t="n">
        <v>593</v>
      </c>
      <c r="R586" s="2" t="n">
        <v>6.6</v>
      </c>
      <c r="S586" s="2" t="n">
        <v>0</v>
      </c>
      <c r="T586" s="2" t="n">
        <v>7</v>
      </c>
      <c r="U586" s="2" t="n">
        <v>0</v>
      </c>
      <c r="V586" s="2" t="n">
        <v>3</v>
      </c>
      <c r="W586" s="2"/>
      <c r="X586" s="2" t="n">
        <v>1.06</v>
      </c>
      <c r="Y586" s="2" t="n">
        <v>4.9</v>
      </c>
      <c r="Z586" s="2" t="n">
        <v>2</v>
      </c>
      <c r="AA586" s="2" t="n">
        <v>21.9</v>
      </c>
      <c r="AB586" s="2" t="n">
        <v>3</v>
      </c>
      <c r="AC586" s="2" t="n">
        <v>6</v>
      </c>
      <c r="AD586" s="2" t="n">
        <v>0.9</v>
      </c>
      <c r="AE586" s="2" t="n">
        <v>2</v>
      </c>
      <c r="AF586" s="2" t="n">
        <v>7.4</v>
      </c>
      <c r="AG586" s="2" t="n">
        <v>57</v>
      </c>
      <c r="AH586" s="2" t="n">
        <v>0.2</v>
      </c>
      <c r="AI586" s="2" t="n">
        <v>20</v>
      </c>
      <c r="AJ586" s="2" t="n">
        <v>0.3</v>
      </c>
      <c r="AK586" s="2" t="n">
        <v>28.6</v>
      </c>
      <c r="AL586" s="2"/>
      <c r="AM586" s="2"/>
      <c r="AN586" s="2" t="n">
        <v>2.6</v>
      </c>
      <c r="AO586" s="2" t="n">
        <v>0.6</v>
      </c>
      <c r="AP586" s="2" t="n">
        <v>0.2</v>
      </c>
      <c r="AQ586" s="2" t="n">
        <v>1.7</v>
      </c>
      <c r="AR586" s="2" t="n">
        <v>0.2</v>
      </c>
      <c r="AS586" s="2" t="n">
        <v>1.2</v>
      </c>
      <c r="AT586" s="2" t="n">
        <v>0.5</v>
      </c>
      <c r="AU586" s="2" t="n">
        <v>0.6</v>
      </c>
      <c r="AV586" s="2" t="n">
        <v>1.5</v>
      </c>
      <c r="AW586" s="2"/>
      <c r="AX586" s="2"/>
      <c r="AY586" s="2"/>
      <c r="AZ586" s="2"/>
      <c r="BA586" s="2"/>
      <c r="BB586" s="2"/>
      <c r="BC586" s="2"/>
      <c r="BD586" s="4" t="s">
        <v>2073</v>
      </c>
    </row>
    <row r="587" customFormat="false" ht="15" hidden="false" customHeight="false" outlineLevel="0" collapsed="false">
      <c r="A587" s="2" t="n">
        <v>1169331</v>
      </c>
      <c r="B587" s="2" t="s">
        <v>2074</v>
      </c>
      <c r="C587" s="2" t="s">
        <v>1998</v>
      </c>
      <c r="D587" s="2" t="s">
        <v>341</v>
      </c>
      <c r="E587" s="2" t="s">
        <v>59</v>
      </c>
      <c r="F587" s="2" t="s">
        <v>137</v>
      </c>
      <c r="G587" s="2" t="s">
        <v>147</v>
      </c>
      <c r="H587" s="2" t="s">
        <v>147</v>
      </c>
      <c r="I587" s="2" t="n">
        <v>26</v>
      </c>
      <c r="J587" s="2" t="n">
        <v>29</v>
      </c>
      <c r="K587" s="2" t="s">
        <v>2075</v>
      </c>
      <c r="L587" s="2" t="s">
        <v>67</v>
      </c>
      <c r="M587" s="2" t="n">
        <v>180</v>
      </c>
      <c r="N587" s="3" t="n">
        <v>104880</v>
      </c>
      <c r="O587" s="2"/>
      <c r="P587" s="2" t="n">
        <v>6</v>
      </c>
      <c r="Q587" s="3" t="n">
        <v>307</v>
      </c>
      <c r="R587" s="2"/>
      <c r="S587" s="2"/>
      <c r="T587" s="2" t="n">
        <v>1</v>
      </c>
      <c r="U587" s="2" t="n">
        <v>0</v>
      </c>
      <c r="V587" s="2"/>
      <c r="W587" s="2"/>
      <c r="X587" s="2"/>
      <c r="Y587" s="2"/>
      <c r="Z587" s="2"/>
      <c r="AA587" s="2"/>
      <c r="AB587" s="2" t="n">
        <v>2</v>
      </c>
      <c r="AC587" s="2" t="n">
        <v>5</v>
      </c>
      <c r="AD587" s="2" t="n">
        <v>1.5</v>
      </c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4" t="s">
        <v>2076</v>
      </c>
    </row>
    <row r="588" customFormat="false" ht="15" hidden="false" customHeight="false" outlineLevel="0" collapsed="false">
      <c r="A588" s="2" t="n">
        <v>1724710</v>
      </c>
      <c r="B588" s="2" t="s">
        <v>2077</v>
      </c>
      <c r="C588" s="2" t="s">
        <v>2078</v>
      </c>
      <c r="D588" s="2" t="s">
        <v>341</v>
      </c>
      <c r="E588" s="2" t="s">
        <v>59</v>
      </c>
      <c r="F588" s="2" t="s">
        <v>60</v>
      </c>
      <c r="G588" s="2" t="s">
        <v>61</v>
      </c>
      <c r="H588" s="2" t="s">
        <v>61</v>
      </c>
      <c r="I588" s="2" t="n">
        <v>98</v>
      </c>
      <c r="J588" s="2" t="n">
        <v>24</v>
      </c>
      <c r="K588" s="2" t="s">
        <v>2079</v>
      </c>
      <c r="L588" s="2" t="s">
        <v>67</v>
      </c>
      <c r="M588" s="2" t="n">
        <v>188</v>
      </c>
      <c r="N588" s="3" t="n">
        <v>125162</v>
      </c>
      <c r="O588" s="2"/>
      <c r="P588" s="2" t="n">
        <v>24</v>
      </c>
      <c r="Q588" s="3" t="n">
        <v>2133</v>
      </c>
      <c r="R588" s="2" t="n">
        <v>6.82</v>
      </c>
      <c r="S588" s="2" t="n">
        <v>2</v>
      </c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 t="n">
        <v>20</v>
      </c>
      <c r="AG588" s="2" t="n">
        <v>64.3</v>
      </c>
      <c r="AH588" s="2"/>
      <c r="AI588" s="2"/>
      <c r="AJ588" s="2"/>
      <c r="AK588" s="2"/>
      <c r="AL588" s="2"/>
      <c r="AM588" s="2"/>
      <c r="AN588" s="2" t="n">
        <v>1.3</v>
      </c>
      <c r="AO588" s="2" t="n">
        <v>0</v>
      </c>
      <c r="AP588" s="2"/>
      <c r="AQ588" s="2" t="n">
        <v>1.3</v>
      </c>
      <c r="AR588" s="2"/>
      <c r="AS588" s="2" t="n">
        <v>9</v>
      </c>
      <c r="AT588" s="2"/>
      <c r="AU588" s="2"/>
      <c r="AV588" s="2" t="n">
        <v>0.1</v>
      </c>
      <c r="AW588" s="2" t="n">
        <v>4</v>
      </c>
      <c r="AX588" s="2" t="n">
        <v>1</v>
      </c>
      <c r="AY588" s="2" t="n">
        <v>1</v>
      </c>
      <c r="AZ588" s="2" t="n">
        <v>8</v>
      </c>
      <c r="BA588" s="2" t="n">
        <v>2.5</v>
      </c>
      <c r="BB588" s="2" t="n">
        <v>71.1</v>
      </c>
      <c r="BC588" s="2" t="n">
        <v>1</v>
      </c>
      <c r="BD588" s="4" t="s">
        <v>2080</v>
      </c>
    </row>
    <row r="589" customFormat="false" ht="15" hidden="false" customHeight="false" outlineLevel="0" collapsed="false">
      <c r="A589" s="2" t="n">
        <v>254962</v>
      </c>
      <c r="B589" s="2" t="s">
        <v>2081</v>
      </c>
      <c r="C589" s="2" t="s">
        <v>2078</v>
      </c>
      <c r="D589" s="2" t="s">
        <v>341</v>
      </c>
      <c r="E589" s="2" t="s">
        <v>59</v>
      </c>
      <c r="F589" s="2" t="s">
        <v>60</v>
      </c>
      <c r="G589" s="2" t="s">
        <v>61</v>
      </c>
      <c r="H589" s="2" t="s">
        <v>61</v>
      </c>
      <c r="I589" s="2" t="n">
        <v>1</v>
      </c>
      <c r="J589" s="2" t="n">
        <v>32</v>
      </c>
      <c r="K589" s="2" t="s">
        <v>2082</v>
      </c>
      <c r="L589" s="2" t="s">
        <v>346</v>
      </c>
      <c r="M589" s="2" t="n">
        <v>191</v>
      </c>
      <c r="N589" s="3" t="n">
        <v>50000</v>
      </c>
      <c r="O589" s="2"/>
      <c r="P589" s="2" t="n">
        <v>3</v>
      </c>
      <c r="Q589" s="3" t="n">
        <v>205</v>
      </c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 t="n">
        <v>1</v>
      </c>
      <c r="AX589" s="2"/>
      <c r="AY589" s="2" t="n">
        <v>1</v>
      </c>
      <c r="AZ589" s="2" t="n">
        <v>1</v>
      </c>
      <c r="BA589" s="2"/>
      <c r="BB589" s="2"/>
      <c r="BC589" s="2"/>
      <c r="BD589" s="4" t="s">
        <v>2083</v>
      </c>
    </row>
    <row r="590" customFormat="false" ht="15" hidden="false" customHeight="false" outlineLevel="0" collapsed="false">
      <c r="A590" s="2" t="n">
        <v>1727117</v>
      </c>
      <c r="B590" s="2" t="s">
        <v>2084</v>
      </c>
      <c r="C590" s="2" t="s">
        <v>2078</v>
      </c>
      <c r="D590" s="2" t="s">
        <v>341</v>
      </c>
      <c r="E590" s="2" t="s">
        <v>59</v>
      </c>
      <c r="F590" s="2" t="s">
        <v>60</v>
      </c>
      <c r="G590" s="2" t="s">
        <v>61</v>
      </c>
      <c r="H590" s="2" t="s">
        <v>61</v>
      </c>
      <c r="I590" s="2" t="n">
        <v>31</v>
      </c>
      <c r="J590" s="2" t="n">
        <v>29</v>
      </c>
      <c r="K590" s="2" t="s">
        <v>2085</v>
      </c>
      <c r="L590" s="2" t="s">
        <v>67</v>
      </c>
      <c r="M590" s="2" t="n">
        <v>183</v>
      </c>
      <c r="N590" s="3" t="n">
        <v>103680</v>
      </c>
      <c r="O590" s="2"/>
      <c r="P590" s="2"/>
      <c r="Q590" s="3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4" t="s">
        <v>2086</v>
      </c>
    </row>
    <row r="591" customFormat="false" ht="15" hidden="false" customHeight="false" outlineLevel="0" collapsed="false">
      <c r="A591" s="2" t="n">
        <v>1828190</v>
      </c>
      <c r="B591" s="2" t="s">
        <v>2087</v>
      </c>
      <c r="C591" s="2" t="s">
        <v>2078</v>
      </c>
      <c r="D591" s="2" t="s">
        <v>341</v>
      </c>
      <c r="E591" s="2" t="s">
        <v>59</v>
      </c>
      <c r="F591" s="2" t="s">
        <v>60</v>
      </c>
      <c r="G591" s="2" t="s">
        <v>404</v>
      </c>
      <c r="H591" s="2" t="s">
        <v>404</v>
      </c>
      <c r="I591" s="2" t="n">
        <v>50</v>
      </c>
      <c r="J591" s="2" t="n">
        <v>18</v>
      </c>
      <c r="K591" s="2" t="s">
        <v>1035</v>
      </c>
      <c r="L591" s="2" t="s">
        <v>67</v>
      </c>
      <c r="M591" s="2" t="n">
        <v>175</v>
      </c>
      <c r="N591" s="3"/>
      <c r="O591" s="2"/>
      <c r="P591" s="2"/>
      <c r="Q591" s="3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4" t="s">
        <v>2088</v>
      </c>
    </row>
    <row r="592" customFormat="false" ht="15" hidden="false" customHeight="false" outlineLevel="0" collapsed="false">
      <c r="A592" s="2" t="n">
        <v>1025952</v>
      </c>
      <c r="B592" s="2" t="s">
        <v>2089</v>
      </c>
      <c r="C592" s="2" t="s">
        <v>2078</v>
      </c>
      <c r="D592" s="2" t="s">
        <v>341</v>
      </c>
      <c r="E592" s="2" t="s">
        <v>59</v>
      </c>
      <c r="F592" s="2" t="s">
        <v>70</v>
      </c>
      <c r="G592" s="2" t="s">
        <v>673</v>
      </c>
      <c r="H592" s="2" t="s">
        <v>2090</v>
      </c>
      <c r="I592" s="2" t="n">
        <v>13</v>
      </c>
      <c r="J592" s="2" t="n">
        <v>30</v>
      </c>
      <c r="K592" s="2" t="s">
        <v>2091</v>
      </c>
      <c r="L592" s="2" t="s">
        <v>67</v>
      </c>
      <c r="M592" s="2" t="n">
        <v>170</v>
      </c>
      <c r="N592" s="3" t="n">
        <v>72000</v>
      </c>
      <c r="O592" s="2"/>
      <c r="P592" s="2" t="n">
        <v>25</v>
      </c>
      <c r="Q592" s="3" t="n">
        <v>2078</v>
      </c>
      <c r="R592" s="2" t="n">
        <v>6.92</v>
      </c>
      <c r="S592" s="2" t="n">
        <v>1</v>
      </c>
      <c r="T592" s="2" t="n">
        <v>1</v>
      </c>
      <c r="U592" s="2" t="n">
        <v>0</v>
      </c>
      <c r="V592" s="2" t="n">
        <v>1</v>
      </c>
      <c r="W592" s="2"/>
      <c r="X592" s="2" t="n">
        <v>0.04</v>
      </c>
      <c r="Y592" s="2" t="n">
        <v>0.8</v>
      </c>
      <c r="Z592" s="2" t="n">
        <v>0.3</v>
      </c>
      <c r="AA592" s="2" t="n">
        <v>5.3</v>
      </c>
      <c r="AB592" s="2" t="n">
        <v>2</v>
      </c>
      <c r="AC592" s="2" t="n">
        <v>22</v>
      </c>
      <c r="AD592" s="2" t="n">
        <v>1</v>
      </c>
      <c r="AE592" s="2" t="n">
        <v>2</v>
      </c>
      <c r="AF592" s="2" t="n">
        <v>22.7</v>
      </c>
      <c r="AG592" s="2" t="n">
        <v>80.7</v>
      </c>
      <c r="AH592" s="2" t="n">
        <v>1</v>
      </c>
      <c r="AI592" s="2" t="n">
        <v>37.9</v>
      </c>
      <c r="AJ592" s="2" t="n">
        <v>0.7</v>
      </c>
      <c r="AK592" s="2" t="n">
        <v>63</v>
      </c>
      <c r="AL592" s="2"/>
      <c r="AM592" s="2"/>
      <c r="AN592" s="2" t="n">
        <v>5.6</v>
      </c>
      <c r="AO592" s="2" t="n">
        <v>1.9</v>
      </c>
      <c r="AP592" s="2" t="n">
        <v>1.6</v>
      </c>
      <c r="AQ592" s="2" t="n">
        <v>1.7</v>
      </c>
      <c r="AR592" s="2" t="n">
        <v>0.3</v>
      </c>
      <c r="AS592" s="2" t="n">
        <v>4</v>
      </c>
      <c r="AT592" s="2" t="n">
        <v>0.2</v>
      </c>
      <c r="AU592" s="2" t="n">
        <v>1.9</v>
      </c>
      <c r="AV592" s="2" t="n">
        <v>1.6</v>
      </c>
      <c r="AW592" s="2" t="n">
        <v>9</v>
      </c>
      <c r="AX592" s="2"/>
      <c r="AY592" s="2" t="n">
        <v>2</v>
      </c>
      <c r="AZ592" s="2"/>
      <c r="BA592" s="2"/>
      <c r="BB592" s="2"/>
      <c r="BC592" s="2"/>
      <c r="BD592" s="4" t="s">
        <v>2092</v>
      </c>
    </row>
    <row r="593" customFormat="false" ht="15" hidden="false" customHeight="false" outlineLevel="0" collapsed="false">
      <c r="A593" s="2" t="n">
        <v>776966</v>
      </c>
      <c r="B593" s="2" t="s">
        <v>2093</v>
      </c>
      <c r="C593" s="2" t="s">
        <v>2078</v>
      </c>
      <c r="D593" s="2" t="s">
        <v>341</v>
      </c>
      <c r="E593" s="2" t="s">
        <v>59</v>
      </c>
      <c r="F593" s="2" t="s">
        <v>70</v>
      </c>
      <c r="G593" s="2" t="s">
        <v>75</v>
      </c>
      <c r="H593" s="2" t="s">
        <v>75</v>
      </c>
      <c r="I593" s="2" t="n">
        <v>3</v>
      </c>
      <c r="J593" s="2" t="n">
        <v>32</v>
      </c>
      <c r="K593" s="2" t="s">
        <v>2094</v>
      </c>
      <c r="L593" s="2" t="s">
        <v>67</v>
      </c>
      <c r="M593" s="2" t="n">
        <v>185</v>
      </c>
      <c r="N593" s="3" t="n">
        <v>50000</v>
      </c>
      <c r="O593" s="2"/>
      <c r="P593" s="2" t="n">
        <v>23</v>
      </c>
      <c r="Q593" s="3" t="n">
        <v>2051</v>
      </c>
      <c r="R593" s="2" t="n">
        <v>6.96</v>
      </c>
      <c r="S593" s="2" t="n">
        <v>0</v>
      </c>
      <c r="T593" s="2"/>
      <c r="U593" s="2"/>
      <c r="V593" s="2" t="n">
        <v>1</v>
      </c>
      <c r="W593" s="2"/>
      <c r="X593" s="2"/>
      <c r="Y593" s="2" t="n">
        <v>0.7</v>
      </c>
      <c r="Z593" s="2" t="n">
        <v>0</v>
      </c>
      <c r="AA593" s="2" t="n">
        <v>0</v>
      </c>
      <c r="AB593" s="2" t="n">
        <v>2</v>
      </c>
      <c r="AC593" s="2" t="n">
        <v>5</v>
      </c>
      <c r="AD593" s="2" t="n">
        <v>0.2</v>
      </c>
      <c r="AE593" s="2"/>
      <c r="AF593" s="2" t="n">
        <v>50.6</v>
      </c>
      <c r="AG593" s="2" t="n">
        <v>83</v>
      </c>
      <c r="AH593" s="2" t="n">
        <v>6.5</v>
      </c>
      <c r="AI593" s="2" t="n">
        <v>55.6</v>
      </c>
      <c r="AJ593" s="2" t="n">
        <v>0.1</v>
      </c>
      <c r="AK593" s="2" t="n">
        <v>40</v>
      </c>
      <c r="AL593" s="2"/>
      <c r="AM593" s="2"/>
      <c r="AN593" s="2" t="n">
        <v>6.9</v>
      </c>
      <c r="AO593" s="2" t="n">
        <v>1.1</v>
      </c>
      <c r="AP593" s="2" t="n">
        <v>1.6</v>
      </c>
      <c r="AQ593" s="2" t="n">
        <v>3.7</v>
      </c>
      <c r="AR593" s="2" t="n">
        <v>0.5</v>
      </c>
      <c r="AS593" s="2" t="n">
        <v>3.8</v>
      </c>
      <c r="AT593" s="2" t="n">
        <v>0.2</v>
      </c>
      <c r="AU593" s="2" t="n">
        <v>1.1</v>
      </c>
      <c r="AV593" s="2" t="n">
        <v>1.1</v>
      </c>
      <c r="AW593" s="2" t="n">
        <v>2</v>
      </c>
      <c r="AX593" s="2" t="n">
        <v>1</v>
      </c>
      <c r="AY593" s="2"/>
      <c r="AZ593" s="2"/>
      <c r="BA593" s="2"/>
      <c r="BB593" s="2"/>
      <c r="BC593" s="2"/>
      <c r="BD593" s="4" t="s">
        <v>2095</v>
      </c>
    </row>
    <row r="594" customFormat="false" ht="15" hidden="false" customHeight="false" outlineLevel="0" collapsed="false">
      <c r="A594" s="2" t="n">
        <v>825695</v>
      </c>
      <c r="B594" s="2" t="s">
        <v>2096</v>
      </c>
      <c r="C594" s="2" t="s">
        <v>2078</v>
      </c>
      <c r="D594" s="2" t="s">
        <v>341</v>
      </c>
      <c r="E594" s="2" t="s">
        <v>59</v>
      </c>
      <c r="F594" s="2" t="s">
        <v>70</v>
      </c>
      <c r="G594" s="2" t="s">
        <v>75</v>
      </c>
      <c r="H594" s="2" t="s">
        <v>75</v>
      </c>
      <c r="I594" s="2" t="n">
        <v>21</v>
      </c>
      <c r="J594" s="2" t="n">
        <v>32</v>
      </c>
      <c r="K594" s="2" t="s">
        <v>2097</v>
      </c>
      <c r="L594" s="2" t="s">
        <v>67</v>
      </c>
      <c r="M594" s="2" t="n">
        <v>196</v>
      </c>
      <c r="N594" s="3" t="n">
        <v>50000</v>
      </c>
      <c r="O594" s="2"/>
      <c r="P594" s="2" t="n">
        <v>24</v>
      </c>
      <c r="Q594" s="3" t="n">
        <v>1990</v>
      </c>
      <c r="R594" s="2" t="n">
        <v>7.19</v>
      </c>
      <c r="S594" s="2" t="n">
        <v>3</v>
      </c>
      <c r="T594" s="2" t="n">
        <v>4</v>
      </c>
      <c r="U594" s="2" t="n">
        <v>0</v>
      </c>
      <c r="V594" s="2"/>
      <c r="W594" s="2"/>
      <c r="X594" s="2" t="n">
        <v>0.18</v>
      </c>
      <c r="Y594" s="2" t="n">
        <v>1.8</v>
      </c>
      <c r="Z594" s="2" t="n">
        <v>0.5</v>
      </c>
      <c r="AA594" s="2" t="n">
        <v>10.3</v>
      </c>
      <c r="AB594" s="2" t="n">
        <v>1</v>
      </c>
      <c r="AC594" s="2" t="n">
        <v>8</v>
      </c>
      <c r="AD594" s="2" t="n">
        <v>0.4</v>
      </c>
      <c r="AE594" s="2" t="n">
        <v>1</v>
      </c>
      <c r="AF594" s="2" t="n">
        <v>40.6</v>
      </c>
      <c r="AG594" s="2" t="n">
        <v>83.9</v>
      </c>
      <c r="AH594" s="2" t="n">
        <v>3.6</v>
      </c>
      <c r="AI594" s="2" t="n">
        <v>50.6</v>
      </c>
      <c r="AJ594" s="2" t="n">
        <v>0.3</v>
      </c>
      <c r="AK594" s="2" t="n">
        <v>63.6</v>
      </c>
      <c r="AL594" s="2"/>
      <c r="AM594" s="2"/>
      <c r="AN594" s="2" t="n">
        <v>7.7</v>
      </c>
      <c r="AO594" s="2" t="n">
        <v>1.2</v>
      </c>
      <c r="AP594" s="2" t="n">
        <v>1.4</v>
      </c>
      <c r="AQ594" s="2" t="n">
        <v>4.5</v>
      </c>
      <c r="AR594" s="2" t="n">
        <v>0.5</v>
      </c>
      <c r="AS594" s="2" t="n">
        <v>3.8</v>
      </c>
      <c r="AT594" s="2" t="n">
        <v>0.2</v>
      </c>
      <c r="AU594" s="2" t="n">
        <v>1.9</v>
      </c>
      <c r="AV594" s="2" t="n">
        <v>1.2</v>
      </c>
      <c r="AW594" s="2" t="n">
        <v>6</v>
      </c>
      <c r="AX594" s="2"/>
      <c r="AY594" s="2"/>
      <c r="AZ594" s="2"/>
      <c r="BA594" s="2"/>
      <c r="BB594" s="2"/>
      <c r="BC594" s="2"/>
      <c r="BD594" s="4" t="s">
        <v>2098</v>
      </c>
    </row>
    <row r="595" customFormat="false" ht="15" hidden="false" customHeight="false" outlineLevel="0" collapsed="false">
      <c r="A595" s="2" t="n">
        <v>1026067</v>
      </c>
      <c r="B595" s="2" t="s">
        <v>2099</v>
      </c>
      <c r="C595" s="2" t="s">
        <v>2078</v>
      </c>
      <c r="D595" s="2" t="s">
        <v>341</v>
      </c>
      <c r="E595" s="2" t="s">
        <v>59</v>
      </c>
      <c r="F595" s="2" t="s">
        <v>70</v>
      </c>
      <c r="G595" s="2" t="s">
        <v>658</v>
      </c>
      <c r="H595" s="2" t="s">
        <v>1215</v>
      </c>
      <c r="I595" s="2" t="n">
        <v>22</v>
      </c>
      <c r="J595" s="2" t="n">
        <v>29</v>
      </c>
      <c r="K595" s="2" t="s">
        <v>2100</v>
      </c>
      <c r="L595" s="2" t="s">
        <v>808</v>
      </c>
      <c r="M595" s="2" t="n">
        <v>180</v>
      </c>
      <c r="N595" s="3" t="n">
        <v>50000</v>
      </c>
      <c r="O595" s="2"/>
      <c r="P595" s="2" t="n">
        <v>22</v>
      </c>
      <c r="Q595" s="3" t="n">
        <v>1638</v>
      </c>
      <c r="R595" s="2" t="n">
        <v>7.05</v>
      </c>
      <c r="S595" s="2" t="n">
        <v>1</v>
      </c>
      <c r="T595" s="2" t="n">
        <v>3</v>
      </c>
      <c r="U595" s="2" t="n">
        <v>0</v>
      </c>
      <c r="V595" s="2" t="n">
        <v>2</v>
      </c>
      <c r="W595" s="2"/>
      <c r="X595" s="2" t="n">
        <v>0.16</v>
      </c>
      <c r="Y595" s="2" t="n">
        <v>1.6</v>
      </c>
      <c r="Z595" s="2" t="n">
        <v>0.3</v>
      </c>
      <c r="AA595" s="2" t="n">
        <v>10.3</v>
      </c>
      <c r="AB595" s="2"/>
      <c r="AC595" s="2" t="n">
        <v>13</v>
      </c>
      <c r="AD595" s="2" t="n">
        <v>0.7</v>
      </c>
      <c r="AE595" s="2" t="n">
        <v>1</v>
      </c>
      <c r="AF595" s="2" t="n">
        <v>24.1</v>
      </c>
      <c r="AG595" s="2" t="n">
        <v>78.2</v>
      </c>
      <c r="AH595" s="2" t="n">
        <v>0.9</v>
      </c>
      <c r="AI595" s="2" t="n">
        <v>33.3</v>
      </c>
      <c r="AJ595" s="2" t="n">
        <v>0.5</v>
      </c>
      <c r="AK595" s="2" t="n">
        <v>33.3</v>
      </c>
      <c r="AL595" s="2"/>
      <c r="AM595" s="2"/>
      <c r="AN595" s="2" t="n">
        <v>6.1</v>
      </c>
      <c r="AO595" s="2" t="n">
        <v>2.4</v>
      </c>
      <c r="AP595" s="2" t="n">
        <v>1.4</v>
      </c>
      <c r="AQ595" s="2" t="n">
        <v>2.3</v>
      </c>
      <c r="AR595" s="2" t="n">
        <v>0.1</v>
      </c>
      <c r="AS595" s="2" t="n">
        <v>4.6</v>
      </c>
      <c r="AT595" s="2" t="n">
        <v>0.3</v>
      </c>
      <c r="AU595" s="2" t="n">
        <v>1.9</v>
      </c>
      <c r="AV595" s="2" t="n">
        <v>1.9</v>
      </c>
      <c r="AW595" s="2" t="n">
        <v>5</v>
      </c>
      <c r="AX595" s="2"/>
      <c r="AY595" s="2"/>
      <c r="AZ595" s="2"/>
      <c r="BA595" s="2"/>
      <c r="BB595" s="2"/>
      <c r="BC595" s="2"/>
      <c r="BD595" s="4" t="s">
        <v>2101</v>
      </c>
    </row>
    <row r="596" customFormat="false" ht="15" hidden="false" customHeight="false" outlineLevel="0" collapsed="false">
      <c r="A596" s="2" t="n">
        <v>1344756</v>
      </c>
      <c r="B596" s="2" t="s">
        <v>2102</v>
      </c>
      <c r="C596" s="2" t="s">
        <v>2078</v>
      </c>
      <c r="D596" s="2" t="s">
        <v>341</v>
      </c>
      <c r="E596" s="2" t="s">
        <v>59</v>
      </c>
      <c r="F596" s="2" t="s">
        <v>70</v>
      </c>
      <c r="G596" s="2" t="s">
        <v>75</v>
      </c>
      <c r="H596" s="2" t="s">
        <v>75</v>
      </c>
      <c r="I596" s="2" t="n">
        <v>43</v>
      </c>
      <c r="J596" s="2" t="n">
        <v>21</v>
      </c>
      <c r="K596" s="2" t="s">
        <v>1072</v>
      </c>
      <c r="L596" s="2" t="s">
        <v>67</v>
      </c>
      <c r="M596" s="2" t="n">
        <v>195</v>
      </c>
      <c r="N596" s="3"/>
      <c r="O596" s="2"/>
      <c r="P596" s="2" t="n">
        <v>20</v>
      </c>
      <c r="Q596" s="3" t="n">
        <v>1560</v>
      </c>
      <c r="R596" s="2" t="n">
        <v>6.95</v>
      </c>
      <c r="S596" s="2" t="n">
        <v>1</v>
      </c>
      <c r="T596" s="2"/>
      <c r="U596" s="2"/>
      <c r="V596" s="2"/>
      <c r="W596" s="2"/>
      <c r="X596" s="2"/>
      <c r="Y596" s="2" t="n">
        <v>0.5</v>
      </c>
      <c r="Z596" s="2" t="n">
        <v>0.1</v>
      </c>
      <c r="AA596" s="2" t="n">
        <v>0</v>
      </c>
      <c r="AB596" s="2" t="n">
        <v>1</v>
      </c>
      <c r="AC596" s="2" t="n">
        <v>4</v>
      </c>
      <c r="AD596" s="2" t="n">
        <v>0.2</v>
      </c>
      <c r="AE596" s="2" t="n">
        <v>1</v>
      </c>
      <c r="AF596" s="2" t="n">
        <v>42.9</v>
      </c>
      <c r="AG596" s="2" t="n">
        <v>89</v>
      </c>
      <c r="AH596" s="2" t="n">
        <v>2</v>
      </c>
      <c r="AI596" s="2" t="n">
        <v>44.2</v>
      </c>
      <c r="AJ596" s="2" t="n">
        <v>0.1</v>
      </c>
      <c r="AK596" s="2" t="n">
        <v>50</v>
      </c>
      <c r="AL596" s="2"/>
      <c r="AM596" s="2"/>
      <c r="AN596" s="2" t="n">
        <v>8.9</v>
      </c>
      <c r="AO596" s="2" t="n">
        <v>2.1</v>
      </c>
      <c r="AP596" s="2" t="n">
        <v>0.8</v>
      </c>
      <c r="AQ596" s="2" t="n">
        <v>5.7</v>
      </c>
      <c r="AR596" s="2" t="n">
        <v>0.4</v>
      </c>
      <c r="AS596" s="2" t="n">
        <v>2.9</v>
      </c>
      <c r="AT596" s="2" t="n">
        <v>0.1</v>
      </c>
      <c r="AU596" s="2" t="n">
        <v>0.8</v>
      </c>
      <c r="AV596" s="2" t="n">
        <v>1.4</v>
      </c>
      <c r="AW596" s="2" t="n">
        <v>1</v>
      </c>
      <c r="AX596" s="2"/>
      <c r="AY596" s="2"/>
      <c r="AZ596" s="2"/>
      <c r="BA596" s="2"/>
      <c r="BB596" s="2"/>
      <c r="BC596" s="2"/>
      <c r="BD596" s="4" t="s">
        <v>2103</v>
      </c>
    </row>
    <row r="597" customFormat="false" ht="15" hidden="false" customHeight="false" outlineLevel="0" collapsed="false">
      <c r="A597" s="2" t="n">
        <v>760331</v>
      </c>
      <c r="B597" s="2" t="s">
        <v>2104</v>
      </c>
      <c r="C597" s="2" t="s">
        <v>2078</v>
      </c>
      <c r="D597" s="2" t="s">
        <v>341</v>
      </c>
      <c r="E597" s="2" t="s">
        <v>59</v>
      </c>
      <c r="F597" s="2" t="s">
        <v>70</v>
      </c>
      <c r="G597" s="2" t="s">
        <v>75</v>
      </c>
      <c r="H597" s="2" t="s">
        <v>75</v>
      </c>
      <c r="I597" s="2" t="n">
        <v>17</v>
      </c>
      <c r="J597" s="2" t="n">
        <v>28</v>
      </c>
      <c r="K597" s="2" t="s">
        <v>2105</v>
      </c>
      <c r="L597" s="2" t="s">
        <v>67</v>
      </c>
      <c r="M597" s="2" t="n">
        <v>191</v>
      </c>
      <c r="N597" s="3" t="n">
        <v>50000</v>
      </c>
      <c r="O597" s="2"/>
      <c r="P597" s="2" t="n">
        <v>14</v>
      </c>
      <c r="Q597" s="3" t="n">
        <v>1139</v>
      </c>
      <c r="R597" s="2" t="n">
        <v>6.85</v>
      </c>
      <c r="S597" s="2" t="n">
        <v>0</v>
      </c>
      <c r="T597" s="2" t="n">
        <v>1</v>
      </c>
      <c r="U597" s="2" t="n">
        <v>0</v>
      </c>
      <c r="V597" s="2" t="n">
        <v>1</v>
      </c>
      <c r="W597" s="2"/>
      <c r="X597" s="2" t="n">
        <v>0.08</v>
      </c>
      <c r="Y597" s="2" t="n">
        <v>0.3</v>
      </c>
      <c r="Z597" s="2" t="n">
        <v>0.1</v>
      </c>
      <c r="AA597" s="2" t="n">
        <v>25</v>
      </c>
      <c r="AB597" s="2" t="n">
        <v>1</v>
      </c>
      <c r="AC597" s="2" t="n">
        <v>5</v>
      </c>
      <c r="AD597" s="2" t="n">
        <v>0.4</v>
      </c>
      <c r="AE597" s="2"/>
      <c r="AF597" s="2" t="n">
        <v>46.1</v>
      </c>
      <c r="AG597" s="2" t="n">
        <v>85.5</v>
      </c>
      <c r="AH597" s="2" t="n">
        <v>3.6</v>
      </c>
      <c r="AI597" s="2" t="n">
        <v>47.4</v>
      </c>
      <c r="AJ597" s="2"/>
      <c r="AK597" s="2"/>
      <c r="AL597" s="2"/>
      <c r="AM597" s="2"/>
      <c r="AN597" s="2" t="n">
        <v>6.7</v>
      </c>
      <c r="AO597" s="2" t="n">
        <v>1.2</v>
      </c>
      <c r="AP597" s="2" t="n">
        <v>0.5</v>
      </c>
      <c r="AQ597" s="2" t="n">
        <v>4.8</v>
      </c>
      <c r="AR597" s="2" t="n">
        <v>0.2</v>
      </c>
      <c r="AS597" s="2" t="n">
        <v>2.7</v>
      </c>
      <c r="AT597" s="2" t="n">
        <v>0.2</v>
      </c>
      <c r="AU597" s="2" t="n">
        <v>0.9</v>
      </c>
      <c r="AV597" s="2" t="n">
        <v>1.2</v>
      </c>
      <c r="AW597" s="2" t="n">
        <v>3</v>
      </c>
      <c r="AX597" s="2"/>
      <c r="AY597" s="2"/>
      <c r="AZ597" s="2"/>
      <c r="BA597" s="2"/>
      <c r="BB597" s="2"/>
      <c r="BC597" s="2"/>
      <c r="BD597" s="4" t="s">
        <v>2106</v>
      </c>
    </row>
    <row r="598" customFormat="false" ht="15" hidden="false" customHeight="false" outlineLevel="0" collapsed="false">
      <c r="A598" s="2" t="n">
        <v>1175223</v>
      </c>
      <c r="B598" s="2" t="s">
        <v>2107</v>
      </c>
      <c r="C598" s="2" t="s">
        <v>2078</v>
      </c>
      <c r="D598" s="2" t="s">
        <v>341</v>
      </c>
      <c r="E598" s="2" t="s">
        <v>59</v>
      </c>
      <c r="F598" s="2" t="s">
        <v>70</v>
      </c>
      <c r="G598" s="2" t="s">
        <v>658</v>
      </c>
      <c r="H598" s="2" t="s">
        <v>1215</v>
      </c>
      <c r="I598" s="2" t="n">
        <v>4</v>
      </c>
      <c r="J598" s="2" t="n">
        <v>27</v>
      </c>
      <c r="K598" s="2" t="s">
        <v>2108</v>
      </c>
      <c r="L598" s="2" t="s">
        <v>590</v>
      </c>
      <c r="M598" s="2" t="n">
        <v>170</v>
      </c>
      <c r="N598" s="3" t="n">
        <v>52964</v>
      </c>
      <c r="O598" s="2"/>
      <c r="P598" s="2" t="n">
        <v>19</v>
      </c>
      <c r="Q598" s="3" t="n">
        <v>889</v>
      </c>
      <c r="R598" s="2" t="n">
        <v>6.66</v>
      </c>
      <c r="S598" s="2" t="n">
        <v>0</v>
      </c>
      <c r="T598" s="2"/>
      <c r="U598" s="2"/>
      <c r="V598" s="2" t="n">
        <v>2</v>
      </c>
      <c r="W598" s="2"/>
      <c r="X598" s="2"/>
      <c r="Y598" s="2" t="n">
        <v>1.1</v>
      </c>
      <c r="Z598" s="2" t="n">
        <v>0.1</v>
      </c>
      <c r="AA598" s="2" t="n">
        <v>0</v>
      </c>
      <c r="AB598" s="2"/>
      <c r="AC598" s="2" t="n">
        <v>13</v>
      </c>
      <c r="AD598" s="2" t="n">
        <v>1.3</v>
      </c>
      <c r="AE598" s="2" t="n">
        <v>1</v>
      </c>
      <c r="AF598" s="2" t="n">
        <v>26.5</v>
      </c>
      <c r="AG598" s="2" t="n">
        <v>82.6</v>
      </c>
      <c r="AH598" s="2" t="n">
        <v>1.3</v>
      </c>
      <c r="AI598" s="2" t="n">
        <v>43.3</v>
      </c>
      <c r="AJ598" s="2" t="n">
        <v>0.3</v>
      </c>
      <c r="AK598" s="2" t="n">
        <v>42.9</v>
      </c>
      <c r="AL598" s="2"/>
      <c r="AM598" s="2"/>
      <c r="AN598" s="2" t="n">
        <v>5.3</v>
      </c>
      <c r="AO598" s="2" t="n">
        <v>1.9</v>
      </c>
      <c r="AP598" s="2" t="n">
        <v>0.3</v>
      </c>
      <c r="AQ598" s="2" t="n">
        <v>2.6</v>
      </c>
      <c r="AR598" s="2" t="n">
        <v>0.4</v>
      </c>
      <c r="AS598" s="2" t="n">
        <v>3.3</v>
      </c>
      <c r="AT598" s="2" t="n">
        <v>0.1</v>
      </c>
      <c r="AU598" s="2" t="n">
        <v>1.7</v>
      </c>
      <c r="AV598" s="2" t="n">
        <v>1.4</v>
      </c>
      <c r="AW598" s="2" t="n">
        <v>3</v>
      </c>
      <c r="AX598" s="2"/>
      <c r="AY598" s="2"/>
      <c r="AZ598" s="2"/>
      <c r="BA598" s="2"/>
      <c r="BB598" s="2"/>
      <c r="BC598" s="2"/>
      <c r="BD598" s="4" t="s">
        <v>2109</v>
      </c>
    </row>
    <row r="599" customFormat="false" ht="15" hidden="false" customHeight="false" outlineLevel="0" collapsed="false">
      <c r="A599" s="2" t="n">
        <v>952169</v>
      </c>
      <c r="B599" s="2" t="s">
        <v>2110</v>
      </c>
      <c r="C599" s="2" t="s">
        <v>2078</v>
      </c>
      <c r="D599" s="2" t="s">
        <v>341</v>
      </c>
      <c r="E599" s="2" t="s">
        <v>59</v>
      </c>
      <c r="F599" s="2" t="s">
        <v>70</v>
      </c>
      <c r="G599" s="2" t="s">
        <v>75</v>
      </c>
      <c r="H599" s="2" t="s">
        <v>75</v>
      </c>
      <c r="I599" s="2" t="n">
        <v>5</v>
      </c>
      <c r="J599" s="2" t="n">
        <v>31</v>
      </c>
      <c r="K599" s="2" t="s">
        <v>2111</v>
      </c>
      <c r="L599" s="2" t="s">
        <v>2112</v>
      </c>
      <c r="M599" s="2" t="n">
        <v>185</v>
      </c>
      <c r="N599" s="3" t="n">
        <v>50000</v>
      </c>
      <c r="O599" s="2"/>
      <c r="P599" s="2" t="n">
        <v>4</v>
      </c>
      <c r="Q599" s="3" t="n">
        <v>246</v>
      </c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 t="n">
        <v>1</v>
      </c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4" t="s">
        <v>2113</v>
      </c>
    </row>
    <row r="600" customFormat="false" ht="15" hidden="false" customHeight="false" outlineLevel="0" collapsed="false">
      <c r="A600" s="2" t="n">
        <v>1026110</v>
      </c>
      <c r="B600" s="2" t="s">
        <v>2114</v>
      </c>
      <c r="C600" s="2" t="s">
        <v>2078</v>
      </c>
      <c r="D600" s="2" t="s">
        <v>341</v>
      </c>
      <c r="E600" s="2" t="s">
        <v>59</v>
      </c>
      <c r="F600" s="2" t="s">
        <v>70</v>
      </c>
      <c r="G600" s="2" t="s">
        <v>673</v>
      </c>
      <c r="H600" s="2" t="s">
        <v>2090</v>
      </c>
      <c r="I600" s="2" t="n">
        <v>23</v>
      </c>
      <c r="J600" s="2" t="n">
        <v>30</v>
      </c>
      <c r="K600" s="2" t="s">
        <v>2115</v>
      </c>
      <c r="L600" s="2" t="s">
        <v>67</v>
      </c>
      <c r="M600" s="2" t="n">
        <v>173</v>
      </c>
      <c r="N600" s="3" t="n">
        <v>50000</v>
      </c>
      <c r="O600" s="2"/>
      <c r="P600" s="2" t="n">
        <v>4</v>
      </c>
      <c r="Q600" s="3" t="n">
        <v>225</v>
      </c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 t="n">
        <v>2</v>
      </c>
      <c r="AD600" s="2" t="n">
        <v>0.8</v>
      </c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 t="n">
        <v>1</v>
      </c>
      <c r="AZ600" s="2"/>
      <c r="BA600" s="2"/>
      <c r="BB600" s="2"/>
      <c r="BC600" s="2"/>
      <c r="BD600" s="4" t="s">
        <v>2116</v>
      </c>
    </row>
    <row r="601" customFormat="false" ht="15" hidden="false" customHeight="false" outlineLevel="0" collapsed="false">
      <c r="A601" s="2" t="n">
        <v>1921659</v>
      </c>
      <c r="B601" s="2" t="s">
        <v>2117</v>
      </c>
      <c r="C601" s="2" t="s">
        <v>2078</v>
      </c>
      <c r="D601" s="2" t="s">
        <v>341</v>
      </c>
      <c r="E601" s="2" t="s">
        <v>59</v>
      </c>
      <c r="F601" s="2" t="s">
        <v>70</v>
      </c>
      <c r="G601" s="2"/>
      <c r="H601" s="2"/>
      <c r="I601" s="2" t="n">
        <v>48</v>
      </c>
      <c r="J601" s="2" t="n">
        <v>19</v>
      </c>
      <c r="K601" s="2" t="s">
        <v>2118</v>
      </c>
      <c r="L601" s="2" t="s">
        <v>214</v>
      </c>
      <c r="M601" s="2" t="n">
        <v>175</v>
      </c>
      <c r="N601" s="3"/>
      <c r="O601" s="2"/>
      <c r="P601" s="2"/>
      <c r="Q601" s="3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4" t="s">
        <v>2119</v>
      </c>
    </row>
    <row r="602" customFormat="false" ht="15" hidden="false" customHeight="false" outlineLevel="0" collapsed="false">
      <c r="A602" s="2" t="n">
        <v>1376134</v>
      </c>
      <c r="B602" s="2" t="s">
        <v>2120</v>
      </c>
      <c r="C602" s="2" t="s">
        <v>2078</v>
      </c>
      <c r="D602" s="2" t="s">
        <v>341</v>
      </c>
      <c r="E602" s="2" t="s">
        <v>59</v>
      </c>
      <c r="F602" s="2" t="s">
        <v>102</v>
      </c>
      <c r="G602" s="2" t="s">
        <v>404</v>
      </c>
      <c r="H602" s="2" t="s">
        <v>597</v>
      </c>
      <c r="I602" s="2" t="n">
        <v>15</v>
      </c>
      <c r="J602" s="2" t="n">
        <v>28</v>
      </c>
      <c r="K602" s="2" t="s">
        <v>2121</v>
      </c>
      <c r="L602" s="2" t="s">
        <v>67</v>
      </c>
      <c r="M602" s="2" t="n">
        <v>175</v>
      </c>
      <c r="N602" s="3" t="n">
        <v>82944</v>
      </c>
      <c r="O602" s="2"/>
      <c r="P602" s="2" t="n">
        <v>26</v>
      </c>
      <c r="Q602" s="3" t="n">
        <v>2146</v>
      </c>
      <c r="R602" s="2" t="n">
        <v>6.99</v>
      </c>
      <c r="S602" s="2" t="n">
        <v>0</v>
      </c>
      <c r="T602" s="2"/>
      <c r="U602" s="2"/>
      <c r="V602" s="2" t="n">
        <v>3</v>
      </c>
      <c r="W602" s="2"/>
      <c r="X602" s="2"/>
      <c r="Y602" s="2" t="n">
        <v>0.3</v>
      </c>
      <c r="Z602" s="2" t="n">
        <v>0.1</v>
      </c>
      <c r="AA602" s="2" t="n">
        <v>0</v>
      </c>
      <c r="AB602" s="2"/>
      <c r="AC602" s="2" t="n">
        <v>35</v>
      </c>
      <c r="AD602" s="2" t="n">
        <v>1.5</v>
      </c>
      <c r="AE602" s="2" t="n">
        <v>3</v>
      </c>
      <c r="AF602" s="2" t="n">
        <v>35</v>
      </c>
      <c r="AG602" s="2" t="n">
        <v>86.3</v>
      </c>
      <c r="AH602" s="2" t="n">
        <v>3.1</v>
      </c>
      <c r="AI602" s="2" t="n">
        <v>59.3</v>
      </c>
      <c r="AJ602" s="2" t="n">
        <v>0.4</v>
      </c>
      <c r="AK602" s="2" t="n">
        <v>47.6</v>
      </c>
      <c r="AL602" s="2"/>
      <c r="AM602" s="2"/>
      <c r="AN602" s="2" t="n">
        <v>2.9</v>
      </c>
      <c r="AO602" s="2" t="n">
        <v>1.2</v>
      </c>
      <c r="AP602" s="2" t="n">
        <v>0.6</v>
      </c>
      <c r="AQ602" s="2" t="n">
        <v>0.8</v>
      </c>
      <c r="AR602" s="2" t="n">
        <v>0.3</v>
      </c>
      <c r="AS602" s="2" t="n">
        <v>4.3</v>
      </c>
      <c r="AT602" s="2" t="n">
        <v>0.4</v>
      </c>
      <c r="AU602" s="2" t="n">
        <v>2.4</v>
      </c>
      <c r="AV602" s="2" t="n">
        <v>0.7</v>
      </c>
      <c r="AW602" s="2" t="n">
        <v>7</v>
      </c>
      <c r="AX602" s="2"/>
      <c r="AY602" s="2"/>
      <c r="AZ602" s="2"/>
      <c r="BA602" s="2"/>
      <c r="BB602" s="2"/>
      <c r="BC602" s="2"/>
      <c r="BD602" s="4" t="s">
        <v>2122</v>
      </c>
    </row>
    <row r="603" customFormat="false" ht="15" hidden="false" customHeight="false" outlineLevel="0" collapsed="false">
      <c r="A603" s="2" t="n">
        <v>971585</v>
      </c>
      <c r="B603" s="2" t="s">
        <v>2123</v>
      </c>
      <c r="C603" s="2" t="s">
        <v>2078</v>
      </c>
      <c r="D603" s="2" t="s">
        <v>341</v>
      </c>
      <c r="E603" s="2" t="s">
        <v>59</v>
      </c>
      <c r="F603" s="2" t="s">
        <v>102</v>
      </c>
      <c r="G603" s="2" t="s">
        <v>221</v>
      </c>
      <c r="H603" s="2" t="s">
        <v>2124</v>
      </c>
      <c r="I603" s="2" t="n">
        <v>10</v>
      </c>
      <c r="J603" s="2" t="n">
        <v>25</v>
      </c>
      <c r="K603" s="2" t="s">
        <v>2125</v>
      </c>
      <c r="L603" s="2" t="s">
        <v>346</v>
      </c>
      <c r="M603" s="2" t="n">
        <v>170</v>
      </c>
      <c r="N603" s="3" t="n">
        <v>66575</v>
      </c>
      <c r="O603" s="2"/>
      <c r="P603" s="2" t="n">
        <v>25</v>
      </c>
      <c r="Q603" s="3" t="n">
        <v>2055</v>
      </c>
      <c r="R603" s="2" t="n">
        <v>7.44</v>
      </c>
      <c r="S603" s="2" t="n">
        <v>4</v>
      </c>
      <c r="T603" s="2" t="n">
        <v>5</v>
      </c>
      <c r="U603" s="2" t="n">
        <v>0</v>
      </c>
      <c r="V603" s="2" t="n">
        <v>7</v>
      </c>
      <c r="W603" s="2"/>
      <c r="X603" s="2" t="n">
        <v>0.22</v>
      </c>
      <c r="Y603" s="2" t="n">
        <v>1.9</v>
      </c>
      <c r="Z603" s="2" t="n">
        <v>0.9</v>
      </c>
      <c r="AA603" s="2" t="n">
        <v>11.6</v>
      </c>
      <c r="AB603" s="2" t="n">
        <v>3</v>
      </c>
      <c r="AC603" s="2" t="n">
        <v>68</v>
      </c>
      <c r="AD603" s="2" t="n">
        <v>3</v>
      </c>
      <c r="AE603" s="2" t="n">
        <v>7</v>
      </c>
      <c r="AF603" s="2" t="n">
        <v>31.9</v>
      </c>
      <c r="AG603" s="2" t="n">
        <v>83</v>
      </c>
      <c r="AH603" s="2" t="n">
        <v>2.9</v>
      </c>
      <c r="AI603" s="2" t="n">
        <v>57.8</v>
      </c>
      <c r="AJ603" s="2" t="n">
        <v>1</v>
      </c>
      <c r="AK603" s="2" t="n">
        <v>44</v>
      </c>
      <c r="AL603" s="2"/>
      <c r="AM603" s="2"/>
      <c r="AN603" s="2" t="n">
        <v>1.8</v>
      </c>
      <c r="AO603" s="2" t="n">
        <v>1</v>
      </c>
      <c r="AP603" s="2" t="n">
        <v>0.7</v>
      </c>
      <c r="AQ603" s="2" t="n">
        <v>0.1</v>
      </c>
      <c r="AR603" s="2"/>
      <c r="AS603" s="2" t="n">
        <v>3.8</v>
      </c>
      <c r="AT603" s="2" t="n">
        <v>0.7</v>
      </c>
      <c r="AU603" s="2" t="n">
        <v>2.1</v>
      </c>
      <c r="AV603" s="2" t="n">
        <v>1.4</v>
      </c>
      <c r="AW603" s="2" t="n">
        <v>10</v>
      </c>
      <c r="AX603" s="2"/>
      <c r="AY603" s="2"/>
      <c r="AZ603" s="2"/>
      <c r="BA603" s="2"/>
      <c r="BB603" s="2"/>
      <c r="BC603" s="2"/>
      <c r="BD603" s="4" t="s">
        <v>2126</v>
      </c>
    </row>
    <row r="604" customFormat="false" ht="15" hidden="false" customHeight="false" outlineLevel="0" collapsed="false">
      <c r="A604" s="2" t="n">
        <v>934891</v>
      </c>
      <c r="B604" s="2" t="s">
        <v>2127</v>
      </c>
      <c r="C604" s="2" t="s">
        <v>2078</v>
      </c>
      <c r="D604" s="2" t="s">
        <v>341</v>
      </c>
      <c r="E604" s="2" t="s">
        <v>59</v>
      </c>
      <c r="F604" s="2" t="s">
        <v>102</v>
      </c>
      <c r="G604" s="2" t="s">
        <v>113</v>
      </c>
      <c r="H604" s="2" t="s">
        <v>2128</v>
      </c>
      <c r="I604" s="2" t="n">
        <v>19</v>
      </c>
      <c r="J604" s="2" t="n">
        <v>27</v>
      </c>
      <c r="K604" s="2" t="s">
        <v>2129</v>
      </c>
      <c r="L604" s="2" t="s">
        <v>808</v>
      </c>
      <c r="M604" s="2" t="n">
        <v>165</v>
      </c>
      <c r="N604" s="3" t="n">
        <v>99720</v>
      </c>
      <c r="O604" s="2"/>
      <c r="P604" s="2" t="n">
        <v>23</v>
      </c>
      <c r="Q604" s="3" t="n">
        <v>1415</v>
      </c>
      <c r="R604" s="2" t="n">
        <v>6.89</v>
      </c>
      <c r="S604" s="2" t="n">
        <v>1</v>
      </c>
      <c r="T604" s="2" t="n">
        <v>5</v>
      </c>
      <c r="U604" s="2" t="n">
        <v>0</v>
      </c>
      <c r="V604" s="2" t="n">
        <v>4</v>
      </c>
      <c r="W604" s="2"/>
      <c r="X604" s="2" t="n">
        <v>0.32</v>
      </c>
      <c r="Y604" s="2" t="n">
        <v>1.9</v>
      </c>
      <c r="Z604" s="2" t="n">
        <v>0.8</v>
      </c>
      <c r="AA604" s="2" t="n">
        <v>16.7</v>
      </c>
      <c r="AB604" s="2" t="n">
        <v>6</v>
      </c>
      <c r="AC604" s="2" t="n">
        <v>24</v>
      </c>
      <c r="AD604" s="2" t="n">
        <v>1.5</v>
      </c>
      <c r="AE604" s="2" t="n">
        <v>4</v>
      </c>
      <c r="AF604" s="2" t="n">
        <v>24.9</v>
      </c>
      <c r="AG604" s="2" t="n">
        <v>89.5</v>
      </c>
      <c r="AH604" s="2" t="n">
        <v>0.8</v>
      </c>
      <c r="AI604" s="2" t="n">
        <v>85.7</v>
      </c>
      <c r="AJ604" s="2" t="n">
        <v>1.4</v>
      </c>
      <c r="AK604" s="2" t="n">
        <v>44.9</v>
      </c>
      <c r="AL604" s="2"/>
      <c r="AM604" s="2"/>
      <c r="AN604" s="2" t="n">
        <v>0.8</v>
      </c>
      <c r="AO604" s="2" t="n">
        <v>0.4</v>
      </c>
      <c r="AP604" s="2" t="n">
        <v>0.3</v>
      </c>
      <c r="AQ604" s="2" t="n">
        <v>0.1</v>
      </c>
      <c r="AR604" s="2"/>
      <c r="AS604" s="2" t="n">
        <v>2.5</v>
      </c>
      <c r="AT604" s="2" t="n">
        <v>0.6</v>
      </c>
      <c r="AU604" s="2" t="n">
        <v>1.3</v>
      </c>
      <c r="AV604" s="2" t="n">
        <v>0.6</v>
      </c>
      <c r="AW604" s="2" t="n">
        <v>3</v>
      </c>
      <c r="AX604" s="2"/>
      <c r="AY604" s="2"/>
      <c r="AZ604" s="2"/>
      <c r="BA604" s="2"/>
      <c r="BB604" s="2"/>
      <c r="BC604" s="2"/>
      <c r="BD604" s="4" t="s">
        <v>2130</v>
      </c>
    </row>
    <row r="605" customFormat="false" ht="15" hidden="false" customHeight="false" outlineLevel="0" collapsed="false">
      <c r="A605" s="2" t="n">
        <v>1727112</v>
      </c>
      <c r="B605" s="2" t="s">
        <v>2131</v>
      </c>
      <c r="C605" s="2" t="s">
        <v>2078</v>
      </c>
      <c r="D605" s="2" t="s">
        <v>341</v>
      </c>
      <c r="E605" s="2" t="s">
        <v>59</v>
      </c>
      <c r="F605" s="2" t="s">
        <v>102</v>
      </c>
      <c r="G605" s="2" t="s">
        <v>404</v>
      </c>
      <c r="H605" s="2" t="s">
        <v>597</v>
      </c>
      <c r="I605" s="2" t="n">
        <v>14</v>
      </c>
      <c r="J605" s="2" t="n">
        <v>24</v>
      </c>
      <c r="K605" s="2" t="s">
        <v>2132</v>
      </c>
      <c r="L605" s="2" t="s">
        <v>808</v>
      </c>
      <c r="M605" s="2" t="n">
        <v>185</v>
      </c>
      <c r="N605" s="3" t="n">
        <v>95482</v>
      </c>
      <c r="O605" s="2"/>
      <c r="P605" s="2" t="n">
        <v>16</v>
      </c>
      <c r="Q605" s="3" t="n">
        <v>964</v>
      </c>
      <c r="R605" s="2" t="n">
        <v>6.52</v>
      </c>
      <c r="S605" s="2" t="n">
        <v>0</v>
      </c>
      <c r="T605" s="2"/>
      <c r="U605" s="2"/>
      <c r="V605" s="2"/>
      <c r="W605" s="2"/>
      <c r="X605" s="2"/>
      <c r="Y605" s="2" t="n">
        <v>0.3</v>
      </c>
      <c r="Z605" s="2"/>
      <c r="AA605" s="2" t="n">
        <v>0</v>
      </c>
      <c r="AB605" s="2"/>
      <c r="AC605" s="2" t="n">
        <v>4</v>
      </c>
      <c r="AD605" s="2" t="n">
        <v>0.4</v>
      </c>
      <c r="AE605" s="2"/>
      <c r="AF605" s="2" t="n">
        <v>23</v>
      </c>
      <c r="AG605" s="2" t="n">
        <v>83.7</v>
      </c>
      <c r="AH605" s="2" t="n">
        <v>1.5</v>
      </c>
      <c r="AI605" s="2" t="n">
        <v>53.3</v>
      </c>
      <c r="AJ605" s="2" t="n">
        <v>0.3</v>
      </c>
      <c r="AK605" s="2" t="n">
        <v>37.5</v>
      </c>
      <c r="AL605" s="2"/>
      <c r="AM605" s="2"/>
      <c r="AN605" s="2" t="n">
        <v>5.2</v>
      </c>
      <c r="AO605" s="2" t="n">
        <v>2.1</v>
      </c>
      <c r="AP605" s="2" t="n">
        <v>1.6</v>
      </c>
      <c r="AQ605" s="2" t="n">
        <v>1.2</v>
      </c>
      <c r="AR605" s="2" t="n">
        <v>0.4</v>
      </c>
      <c r="AS605" s="2" t="n">
        <v>2.8</v>
      </c>
      <c r="AT605" s="2" t="n">
        <v>0.1</v>
      </c>
      <c r="AU605" s="2" t="n">
        <v>1.7</v>
      </c>
      <c r="AV605" s="2" t="n">
        <v>3.3</v>
      </c>
      <c r="AW605" s="2" t="n">
        <v>2</v>
      </c>
      <c r="AX605" s="2" t="n">
        <v>1</v>
      </c>
      <c r="AY605" s="2"/>
      <c r="AZ605" s="2"/>
      <c r="BA605" s="2"/>
      <c r="BB605" s="2"/>
      <c r="BC605" s="2"/>
      <c r="BD605" s="4" t="s">
        <v>2133</v>
      </c>
    </row>
    <row r="606" customFormat="false" ht="15" hidden="false" customHeight="false" outlineLevel="0" collapsed="false">
      <c r="A606" s="2" t="n">
        <v>1760419</v>
      </c>
      <c r="B606" s="2" t="s">
        <v>2134</v>
      </c>
      <c r="C606" s="2" t="s">
        <v>2078</v>
      </c>
      <c r="D606" s="2" t="s">
        <v>341</v>
      </c>
      <c r="E606" s="2" t="s">
        <v>59</v>
      </c>
      <c r="F606" s="2" t="s">
        <v>102</v>
      </c>
      <c r="G606" s="2" t="s">
        <v>404</v>
      </c>
      <c r="H606" s="2" t="s">
        <v>404</v>
      </c>
      <c r="I606" s="2" t="n">
        <v>6</v>
      </c>
      <c r="J606" s="2" t="n">
        <v>22</v>
      </c>
      <c r="K606" s="2" t="s">
        <v>2135</v>
      </c>
      <c r="L606" s="2" t="s">
        <v>67</v>
      </c>
      <c r="M606" s="2" t="n">
        <v>175</v>
      </c>
      <c r="N606" s="3" t="n">
        <v>94228</v>
      </c>
      <c r="O606" s="2"/>
      <c r="P606" s="2" t="n">
        <v>18</v>
      </c>
      <c r="Q606" s="3" t="n">
        <v>653</v>
      </c>
      <c r="R606" s="2" t="n">
        <v>6.45</v>
      </c>
      <c r="S606" s="2" t="n">
        <v>0</v>
      </c>
      <c r="T606" s="2"/>
      <c r="U606" s="2"/>
      <c r="V606" s="2"/>
      <c r="W606" s="2"/>
      <c r="X606" s="2"/>
      <c r="Y606" s="2" t="n">
        <v>1.8</v>
      </c>
      <c r="Z606" s="2" t="n">
        <v>0.1</v>
      </c>
      <c r="AA606" s="2" t="n">
        <v>0</v>
      </c>
      <c r="AB606" s="2"/>
      <c r="AC606" s="2" t="n">
        <v>6</v>
      </c>
      <c r="AD606" s="2" t="n">
        <v>0.8</v>
      </c>
      <c r="AE606" s="2"/>
      <c r="AF606" s="2" t="n">
        <v>37.6</v>
      </c>
      <c r="AG606" s="2" t="n">
        <v>83</v>
      </c>
      <c r="AH606" s="2" t="n">
        <v>4.1</v>
      </c>
      <c r="AI606" s="2" t="n">
        <v>71.4</v>
      </c>
      <c r="AJ606" s="2" t="n">
        <v>1.2</v>
      </c>
      <c r="AK606" s="2" t="n">
        <v>52.9</v>
      </c>
      <c r="AL606" s="2"/>
      <c r="AM606" s="2"/>
      <c r="AN606" s="2" t="n">
        <v>4</v>
      </c>
      <c r="AO606" s="2" t="n">
        <v>1.8</v>
      </c>
      <c r="AP606" s="2" t="n">
        <v>1.1</v>
      </c>
      <c r="AQ606" s="2" t="n">
        <v>0.8</v>
      </c>
      <c r="AR606" s="2" t="n">
        <v>0.3</v>
      </c>
      <c r="AS606" s="2" t="n">
        <v>4.1</v>
      </c>
      <c r="AT606" s="2" t="n">
        <v>1</v>
      </c>
      <c r="AU606" s="2" t="n">
        <v>1.9</v>
      </c>
      <c r="AV606" s="2" t="n">
        <v>1.2</v>
      </c>
      <c r="AW606" s="2" t="n">
        <v>2</v>
      </c>
      <c r="AX606" s="2"/>
      <c r="AY606" s="2"/>
      <c r="AZ606" s="2"/>
      <c r="BA606" s="2"/>
      <c r="BB606" s="2"/>
      <c r="BC606" s="2"/>
      <c r="BD606" s="4" t="s">
        <v>2136</v>
      </c>
    </row>
    <row r="607" customFormat="false" ht="15" hidden="false" customHeight="false" outlineLevel="0" collapsed="false">
      <c r="A607" s="2" t="n">
        <v>1197526</v>
      </c>
      <c r="B607" s="2" t="s">
        <v>2137</v>
      </c>
      <c r="C607" s="2" t="s">
        <v>2078</v>
      </c>
      <c r="D607" s="2" t="s">
        <v>341</v>
      </c>
      <c r="E607" s="2" t="s">
        <v>59</v>
      </c>
      <c r="F607" s="2" t="s">
        <v>102</v>
      </c>
      <c r="G607" s="2" t="s">
        <v>404</v>
      </c>
      <c r="H607" s="2" t="s">
        <v>2138</v>
      </c>
      <c r="I607" s="2" t="n">
        <v>8</v>
      </c>
      <c r="J607" s="2" t="n">
        <v>28</v>
      </c>
      <c r="K607" s="2" t="s">
        <v>1461</v>
      </c>
      <c r="L607" s="2" t="s">
        <v>67</v>
      </c>
      <c r="M607" s="2" t="n">
        <v>180</v>
      </c>
      <c r="N607" s="3" t="n">
        <v>50000</v>
      </c>
      <c r="O607" s="2"/>
      <c r="P607" s="2" t="n">
        <v>13</v>
      </c>
      <c r="Q607" s="3" t="n">
        <v>564</v>
      </c>
      <c r="R607" s="2"/>
      <c r="S607" s="2"/>
      <c r="T607" s="2" t="n">
        <v>1</v>
      </c>
      <c r="U607" s="2" t="n">
        <v>0</v>
      </c>
      <c r="V607" s="2"/>
      <c r="W607" s="2"/>
      <c r="X607" s="2" t="n">
        <v>0.16</v>
      </c>
      <c r="Y607" s="2" t="n">
        <v>0.8</v>
      </c>
      <c r="Z607" s="2" t="n">
        <v>0.2</v>
      </c>
      <c r="AA607" s="2" t="n">
        <v>20</v>
      </c>
      <c r="AB607" s="2" t="n">
        <v>1</v>
      </c>
      <c r="AC607" s="2" t="n">
        <v>9</v>
      </c>
      <c r="AD607" s="2" t="n">
        <v>1.4</v>
      </c>
      <c r="AE607" s="2" t="n">
        <v>1</v>
      </c>
      <c r="AF607" s="2" t="n">
        <v>27.9</v>
      </c>
      <c r="AG607" s="2" t="n">
        <v>78.1</v>
      </c>
      <c r="AH607" s="2" t="n">
        <v>2.1</v>
      </c>
      <c r="AI607" s="2" t="n">
        <v>41.9</v>
      </c>
      <c r="AJ607" s="2" t="n">
        <v>0.2</v>
      </c>
      <c r="AK607" s="2" t="n">
        <v>14.3</v>
      </c>
      <c r="AL607" s="2"/>
      <c r="AM607" s="2"/>
      <c r="AN607" s="2" t="n">
        <v>3.7</v>
      </c>
      <c r="AO607" s="2" t="n">
        <v>1.1</v>
      </c>
      <c r="AP607" s="2" t="n">
        <v>1.6</v>
      </c>
      <c r="AQ607" s="2" t="n">
        <v>0.5</v>
      </c>
      <c r="AR607" s="2" t="n">
        <v>0.5</v>
      </c>
      <c r="AS607" s="2" t="n">
        <v>4.8</v>
      </c>
      <c r="AT607" s="2" t="n">
        <v>0.8</v>
      </c>
      <c r="AU607" s="2" t="n">
        <v>1.9</v>
      </c>
      <c r="AV607" s="2" t="n">
        <v>1.6</v>
      </c>
      <c r="AW607" s="2" t="n">
        <v>2</v>
      </c>
      <c r="AX607" s="2"/>
      <c r="AY607" s="2"/>
      <c r="AZ607" s="2"/>
      <c r="BA607" s="2"/>
      <c r="BB607" s="2"/>
      <c r="BC607" s="2"/>
      <c r="BD607" s="4" t="s">
        <v>2139</v>
      </c>
    </row>
    <row r="608" customFormat="false" ht="15" hidden="false" customHeight="false" outlineLevel="0" collapsed="false">
      <c r="A608" s="2" t="n">
        <v>1064711</v>
      </c>
      <c r="B608" s="2" t="s">
        <v>2140</v>
      </c>
      <c r="C608" s="2" t="s">
        <v>2078</v>
      </c>
      <c r="D608" s="2" t="s">
        <v>341</v>
      </c>
      <c r="E608" s="2" t="s">
        <v>59</v>
      </c>
      <c r="F608" s="2" t="s">
        <v>137</v>
      </c>
      <c r="G608" s="2" t="s">
        <v>147</v>
      </c>
      <c r="H608" s="2" t="s">
        <v>2141</v>
      </c>
      <c r="I608" s="2" t="n">
        <v>99</v>
      </c>
      <c r="J608" s="2" t="n">
        <v>26</v>
      </c>
      <c r="K608" s="2" t="s">
        <v>2142</v>
      </c>
      <c r="L608" s="2" t="s">
        <v>590</v>
      </c>
      <c r="M608" s="2" t="n">
        <v>180</v>
      </c>
      <c r="N608" s="3" t="n">
        <v>136350</v>
      </c>
      <c r="O608" s="2"/>
      <c r="P608" s="2" t="n">
        <v>21</v>
      </c>
      <c r="Q608" s="3" t="n">
        <v>1144</v>
      </c>
      <c r="R608" s="2" t="n">
        <v>6.49</v>
      </c>
      <c r="S608" s="2" t="n">
        <v>1</v>
      </c>
      <c r="T608" s="2" t="n">
        <v>3</v>
      </c>
      <c r="U608" s="2" t="n">
        <v>0</v>
      </c>
      <c r="V608" s="2" t="n">
        <v>1</v>
      </c>
      <c r="W608" s="2"/>
      <c r="X608" s="2" t="n">
        <v>0.24</v>
      </c>
      <c r="Y608" s="2" t="n">
        <v>2.4</v>
      </c>
      <c r="Z608" s="2" t="n">
        <v>0.8</v>
      </c>
      <c r="AA608" s="2" t="n">
        <v>10</v>
      </c>
      <c r="AB608" s="2"/>
      <c r="AC608" s="2" t="n">
        <v>9</v>
      </c>
      <c r="AD608" s="2" t="n">
        <v>0.7</v>
      </c>
      <c r="AE608" s="2"/>
      <c r="AF608" s="2" t="n">
        <v>14.9</v>
      </c>
      <c r="AG608" s="2" t="n">
        <v>78.5</v>
      </c>
      <c r="AH608" s="2" t="n">
        <v>0.9</v>
      </c>
      <c r="AI608" s="2" t="n">
        <v>63.2</v>
      </c>
      <c r="AJ608" s="2" t="n">
        <v>0.2</v>
      </c>
      <c r="AK608" s="2" t="n">
        <v>60</v>
      </c>
      <c r="AL608" s="2"/>
      <c r="AM608" s="2"/>
      <c r="AN608" s="2" t="n">
        <v>0.9</v>
      </c>
      <c r="AO608" s="2" t="n">
        <v>0.3</v>
      </c>
      <c r="AP608" s="2" t="n">
        <v>0.2</v>
      </c>
      <c r="AQ608" s="2" t="n">
        <v>0.3</v>
      </c>
      <c r="AR608" s="2"/>
      <c r="AS608" s="2" t="n">
        <v>1.5</v>
      </c>
      <c r="AT608" s="2" t="n">
        <v>0.5</v>
      </c>
      <c r="AU608" s="2" t="n">
        <v>0.6</v>
      </c>
      <c r="AV608" s="2" t="n">
        <v>1.1</v>
      </c>
      <c r="AW608" s="2" t="n">
        <v>3</v>
      </c>
      <c r="AX608" s="2"/>
      <c r="AY608" s="2"/>
      <c r="AZ608" s="2"/>
      <c r="BA608" s="2"/>
      <c r="BB608" s="2"/>
      <c r="BC608" s="2"/>
      <c r="BD608" s="4" t="s">
        <v>2143</v>
      </c>
    </row>
    <row r="609" customFormat="false" ht="15" hidden="false" customHeight="false" outlineLevel="0" collapsed="false">
      <c r="A609" s="2" t="n">
        <v>1026107</v>
      </c>
      <c r="B609" s="2" t="s">
        <v>2144</v>
      </c>
      <c r="C609" s="2" t="s">
        <v>2078</v>
      </c>
      <c r="D609" s="2" t="s">
        <v>341</v>
      </c>
      <c r="E609" s="2" t="s">
        <v>59</v>
      </c>
      <c r="F609" s="2" t="s">
        <v>137</v>
      </c>
      <c r="G609" s="2" t="s">
        <v>147</v>
      </c>
      <c r="H609" s="2" t="s">
        <v>147</v>
      </c>
      <c r="I609" s="2" t="n">
        <v>9</v>
      </c>
      <c r="J609" s="2" t="n">
        <v>29</v>
      </c>
      <c r="K609" s="2" t="s">
        <v>2145</v>
      </c>
      <c r="L609" s="2" t="s">
        <v>337</v>
      </c>
      <c r="M609" s="2" t="n">
        <v>185</v>
      </c>
      <c r="N609" s="3" t="n">
        <v>50000</v>
      </c>
      <c r="O609" s="2"/>
      <c r="P609" s="2" t="n">
        <v>18</v>
      </c>
      <c r="Q609" s="3" t="n">
        <v>737</v>
      </c>
      <c r="R609" s="2" t="n">
        <v>6.02</v>
      </c>
      <c r="S609" s="2" t="n">
        <v>0</v>
      </c>
      <c r="T609" s="2"/>
      <c r="U609" s="2"/>
      <c r="V609" s="2"/>
      <c r="W609" s="2"/>
      <c r="X609" s="2"/>
      <c r="Y609" s="2" t="n">
        <v>2.4</v>
      </c>
      <c r="Z609" s="2" t="n">
        <v>0.5</v>
      </c>
      <c r="AA609" s="2" t="n">
        <v>0</v>
      </c>
      <c r="AB609" s="2" t="n">
        <v>3</v>
      </c>
      <c r="AC609" s="2" t="n">
        <v>6</v>
      </c>
      <c r="AD609" s="2" t="n">
        <v>0.7</v>
      </c>
      <c r="AE609" s="2" t="n">
        <v>2</v>
      </c>
      <c r="AF609" s="2" t="n">
        <v>7.1</v>
      </c>
      <c r="AG609" s="2" t="n">
        <v>69.9</v>
      </c>
      <c r="AH609" s="2" t="n">
        <v>0.2</v>
      </c>
      <c r="AI609" s="2" t="n">
        <v>66.7</v>
      </c>
      <c r="AJ609" s="2" t="n">
        <v>0.1</v>
      </c>
      <c r="AK609" s="2" t="n">
        <v>16.7</v>
      </c>
      <c r="AL609" s="2"/>
      <c r="AM609" s="2"/>
      <c r="AN609" s="2" t="n">
        <v>1.1</v>
      </c>
      <c r="AO609" s="2" t="n">
        <v>0.5</v>
      </c>
      <c r="AP609" s="2"/>
      <c r="AQ609" s="2" t="n">
        <v>0.4</v>
      </c>
      <c r="AR609" s="2" t="n">
        <v>0.2</v>
      </c>
      <c r="AS609" s="2" t="n">
        <v>1.7</v>
      </c>
      <c r="AT609" s="2" t="n">
        <v>0.5</v>
      </c>
      <c r="AU609" s="2" t="n">
        <v>1.1</v>
      </c>
      <c r="AV609" s="2" t="n">
        <v>3.1</v>
      </c>
      <c r="AW609" s="2" t="n">
        <v>3</v>
      </c>
      <c r="AX609" s="2" t="n">
        <v>1</v>
      </c>
      <c r="AY609" s="2"/>
      <c r="AZ609" s="2"/>
      <c r="BA609" s="2"/>
      <c r="BB609" s="2"/>
      <c r="BC609" s="2"/>
      <c r="BD609" s="4" t="s">
        <v>2146</v>
      </c>
    </row>
    <row r="610" customFormat="false" ht="15" hidden="false" customHeight="false" outlineLevel="0" collapsed="false">
      <c r="A610" s="2" t="n">
        <v>1355567</v>
      </c>
      <c r="B610" s="2" t="s">
        <v>2147</v>
      </c>
      <c r="C610" s="2" t="s">
        <v>2078</v>
      </c>
      <c r="D610" s="2" t="s">
        <v>341</v>
      </c>
      <c r="E610" s="2" t="s">
        <v>59</v>
      </c>
      <c r="F610" s="2" t="s">
        <v>137</v>
      </c>
      <c r="G610" s="2" t="s">
        <v>147</v>
      </c>
      <c r="H610" s="2" t="s">
        <v>147</v>
      </c>
      <c r="I610" s="2" t="n">
        <v>70</v>
      </c>
      <c r="J610" s="2" t="n">
        <v>28</v>
      </c>
      <c r="K610" s="2" t="s">
        <v>2148</v>
      </c>
      <c r="L610" s="2" t="s">
        <v>1130</v>
      </c>
      <c r="M610" s="2" t="n">
        <v>180</v>
      </c>
      <c r="N610" s="3" t="n">
        <v>50000</v>
      </c>
      <c r="O610" s="2"/>
      <c r="P610" s="2" t="n">
        <v>11</v>
      </c>
      <c r="Q610" s="3" t="n">
        <v>279</v>
      </c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 t="n">
        <v>2</v>
      </c>
      <c r="AD610" s="2" t="n">
        <v>0.6</v>
      </c>
      <c r="AE610" s="2" t="n">
        <v>1</v>
      </c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 t="n">
        <v>2</v>
      </c>
      <c r="AX610" s="2"/>
      <c r="AY610" s="2"/>
      <c r="AZ610" s="2"/>
      <c r="BA610" s="2"/>
      <c r="BB610" s="2"/>
      <c r="BC610" s="2"/>
      <c r="BD610" s="4" t="s">
        <v>2149</v>
      </c>
    </row>
    <row r="611" customFormat="false" ht="15" hidden="false" customHeight="false" outlineLevel="0" collapsed="false">
      <c r="A611" s="2" t="n">
        <v>1166264</v>
      </c>
      <c r="B611" s="2" t="s">
        <v>2150</v>
      </c>
      <c r="C611" s="2" t="s">
        <v>2078</v>
      </c>
      <c r="D611" s="2" t="s">
        <v>341</v>
      </c>
      <c r="E611" s="2" t="s">
        <v>59</v>
      </c>
      <c r="F611" s="2" t="s">
        <v>137</v>
      </c>
      <c r="G611" s="2" t="s">
        <v>133</v>
      </c>
      <c r="H611" s="2" t="s">
        <v>1441</v>
      </c>
      <c r="I611" s="2" t="n">
        <v>7</v>
      </c>
      <c r="J611" s="2" t="n">
        <v>29</v>
      </c>
      <c r="K611" s="2" t="s">
        <v>2151</v>
      </c>
      <c r="L611" s="2" t="s">
        <v>67</v>
      </c>
      <c r="M611" s="2" t="n">
        <v>178</v>
      </c>
      <c r="N611" s="3" t="n">
        <v>70202</v>
      </c>
      <c r="O611" s="2"/>
      <c r="P611" s="2" t="n">
        <v>12</v>
      </c>
      <c r="Q611" s="3" t="n">
        <v>192</v>
      </c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4" t="s">
        <v>2152</v>
      </c>
    </row>
    <row r="612" customFormat="false" ht="15" hidden="false" customHeight="false" outlineLevel="0" collapsed="false">
      <c r="A612" s="2" t="n">
        <v>1601768</v>
      </c>
      <c r="B612" s="2" t="s">
        <v>2153</v>
      </c>
      <c r="C612" s="2" t="s">
        <v>2078</v>
      </c>
      <c r="D612" s="2" t="s">
        <v>341</v>
      </c>
      <c r="E612" s="2" t="s">
        <v>59</v>
      </c>
      <c r="F612" s="2" t="s">
        <v>137</v>
      </c>
      <c r="G612" s="2" t="s">
        <v>147</v>
      </c>
      <c r="H612" s="2" t="s">
        <v>147</v>
      </c>
      <c r="I612" s="2" t="n">
        <v>77</v>
      </c>
      <c r="J612" s="2" t="n">
        <v>23</v>
      </c>
      <c r="K612" s="2" t="s">
        <v>2154</v>
      </c>
      <c r="L612" s="2" t="s">
        <v>243</v>
      </c>
      <c r="M612" s="2" t="n">
        <v>191</v>
      </c>
      <c r="N612" s="3"/>
      <c r="O612" s="2"/>
      <c r="P612" s="2" t="n">
        <v>5</v>
      </c>
      <c r="Q612" s="3" t="n">
        <v>164</v>
      </c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 t="n">
        <v>1</v>
      </c>
      <c r="AC612" s="2" t="n">
        <v>4</v>
      </c>
      <c r="AD612" s="2" t="n">
        <v>2.2</v>
      </c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4" t="s">
        <v>2155</v>
      </c>
    </row>
    <row r="613" customFormat="false" ht="15" hidden="false" customHeight="false" outlineLevel="0" collapsed="false">
      <c r="A613" s="2" t="n">
        <v>1435963</v>
      </c>
      <c r="B613" s="2" t="s">
        <v>2156</v>
      </c>
      <c r="C613" s="2" t="s">
        <v>2078</v>
      </c>
      <c r="D613" s="2" t="s">
        <v>341</v>
      </c>
      <c r="E613" s="2" t="s">
        <v>59</v>
      </c>
      <c r="F613" s="2" t="s">
        <v>137</v>
      </c>
      <c r="G613" s="2" t="s">
        <v>133</v>
      </c>
      <c r="H613" s="2" t="s">
        <v>133</v>
      </c>
      <c r="I613" s="2" t="n">
        <v>32</v>
      </c>
      <c r="J613" s="2" t="n">
        <v>25</v>
      </c>
      <c r="K613" s="2" t="s">
        <v>273</v>
      </c>
      <c r="L613" s="2" t="s">
        <v>337</v>
      </c>
      <c r="M613" s="2" t="n">
        <v>180</v>
      </c>
      <c r="N613" s="3" t="n">
        <v>204289</v>
      </c>
      <c r="O613" s="2"/>
      <c r="P613" s="2" t="n">
        <v>2</v>
      </c>
      <c r="Q613" s="3" t="n">
        <v>66</v>
      </c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 t="n">
        <v>3</v>
      </c>
      <c r="AD613" s="2" t="n">
        <v>4.1</v>
      </c>
      <c r="AE613" s="2" t="n">
        <v>1</v>
      </c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4" t="s">
        <v>2157</v>
      </c>
    </row>
    <row r="614" customFormat="false" ht="15" hidden="false" customHeight="false" outlineLevel="0" collapsed="false">
      <c r="A614" s="2" t="n">
        <v>1330000</v>
      </c>
      <c r="B614" s="2" t="s">
        <v>2158</v>
      </c>
      <c r="C614" s="2" t="s">
        <v>2078</v>
      </c>
      <c r="D614" s="2" t="s">
        <v>341</v>
      </c>
      <c r="E614" s="2" t="s">
        <v>59</v>
      </c>
      <c r="F614" s="2" t="s">
        <v>137</v>
      </c>
      <c r="G614" s="2" t="s">
        <v>147</v>
      </c>
      <c r="H614" s="2" t="s">
        <v>147</v>
      </c>
      <c r="I614" s="2" t="n">
        <v>11</v>
      </c>
      <c r="J614" s="2" t="n">
        <v>27</v>
      </c>
      <c r="K614" s="2" t="s">
        <v>109</v>
      </c>
      <c r="L614" s="2" t="s">
        <v>1189</v>
      </c>
      <c r="M614" s="2" t="n">
        <v>178</v>
      </c>
      <c r="N614" s="3" t="n">
        <v>50000</v>
      </c>
      <c r="O614" s="2"/>
      <c r="P614" s="2"/>
      <c r="Q614" s="3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4" t="s">
        <v>2159</v>
      </c>
    </row>
    <row r="615" customFormat="false" ht="15" hidden="false" customHeight="false" outlineLevel="0" collapsed="false">
      <c r="A615" s="2" t="n">
        <v>1800681</v>
      </c>
      <c r="B615" s="2" t="s">
        <v>2160</v>
      </c>
      <c r="C615" s="2" t="s">
        <v>2078</v>
      </c>
      <c r="D615" s="2" t="s">
        <v>341</v>
      </c>
      <c r="E615" s="2" t="s">
        <v>59</v>
      </c>
      <c r="F615" s="2" t="s">
        <v>137</v>
      </c>
      <c r="G615" s="2" t="s">
        <v>221</v>
      </c>
      <c r="H615" s="2" t="s">
        <v>221</v>
      </c>
      <c r="I615" s="2" t="n">
        <v>45</v>
      </c>
      <c r="J615" s="2" t="n">
        <v>17</v>
      </c>
      <c r="K615" s="2" t="s">
        <v>2161</v>
      </c>
      <c r="L615" s="2" t="s">
        <v>67</v>
      </c>
      <c r="M615" s="2" t="n">
        <v>183</v>
      </c>
      <c r="N615" s="3"/>
      <c r="O615" s="2"/>
      <c r="P615" s="2"/>
      <c r="Q615" s="3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4" t="s">
        <v>2162</v>
      </c>
    </row>
    <row r="616" customFormat="false" ht="15" hidden="false" customHeight="false" outlineLevel="0" collapsed="false">
      <c r="A616" s="2" t="n">
        <v>825635</v>
      </c>
      <c r="B616" s="2" t="s">
        <v>2163</v>
      </c>
      <c r="C616" s="2" t="s">
        <v>2164</v>
      </c>
      <c r="D616" s="2" t="s">
        <v>58</v>
      </c>
      <c r="E616" s="2" t="s">
        <v>59</v>
      </c>
      <c r="F616" s="2" t="s">
        <v>60</v>
      </c>
      <c r="G616" s="2" t="s">
        <v>61</v>
      </c>
      <c r="H616" s="2" t="s">
        <v>61</v>
      </c>
      <c r="I616" s="2" t="n">
        <v>1</v>
      </c>
      <c r="J616" s="2" t="n">
        <v>32</v>
      </c>
      <c r="K616" s="2" t="s">
        <v>2165</v>
      </c>
      <c r="L616" s="2" t="s">
        <v>67</v>
      </c>
      <c r="M616" s="2" t="n">
        <v>191</v>
      </c>
      <c r="N616" s="3" t="n">
        <v>50000</v>
      </c>
      <c r="O616" s="2"/>
      <c r="P616" s="2" t="n">
        <v>11</v>
      </c>
      <c r="Q616" s="3" t="n">
        <v>990</v>
      </c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4" t="s">
        <v>2166</v>
      </c>
    </row>
    <row r="617" customFormat="false" ht="15" hidden="false" customHeight="false" outlineLevel="0" collapsed="false">
      <c r="A617" s="2" t="n">
        <v>1919892</v>
      </c>
      <c r="B617" s="2" t="s">
        <v>2167</v>
      </c>
      <c r="C617" s="2" t="s">
        <v>2164</v>
      </c>
      <c r="D617" s="2" t="s">
        <v>58</v>
      </c>
      <c r="E617" s="2" t="s">
        <v>59</v>
      </c>
      <c r="F617" s="2" t="s">
        <v>60</v>
      </c>
      <c r="G617" s="2"/>
      <c r="H617" s="2"/>
      <c r="I617" s="2" t="n">
        <v>42</v>
      </c>
      <c r="J617" s="2" t="n">
        <v>23</v>
      </c>
      <c r="K617" s="2" t="s">
        <v>2168</v>
      </c>
      <c r="L617" s="2" t="s">
        <v>337</v>
      </c>
      <c r="M617" s="2" t="n">
        <v>191</v>
      </c>
      <c r="N617" s="3"/>
      <c r="O617" s="2"/>
      <c r="P617" s="2"/>
      <c r="Q617" s="3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4" t="s">
        <v>2169</v>
      </c>
    </row>
    <row r="618" customFormat="false" ht="15" hidden="false" customHeight="false" outlineLevel="0" collapsed="false">
      <c r="A618" s="2" t="n">
        <v>1187155</v>
      </c>
      <c r="B618" s="2" t="s">
        <v>2170</v>
      </c>
      <c r="C618" s="2" t="s">
        <v>2164</v>
      </c>
      <c r="D618" s="2" t="s">
        <v>58</v>
      </c>
      <c r="E618" s="2" t="s">
        <v>59</v>
      </c>
      <c r="F618" s="2" t="s">
        <v>70</v>
      </c>
      <c r="G618" s="2" t="s">
        <v>92</v>
      </c>
      <c r="H618" s="2" t="s">
        <v>2171</v>
      </c>
      <c r="I618" s="2" t="n">
        <v>2</v>
      </c>
      <c r="J618" s="2" t="n">
        <v>24</v>
      </c>
      <c r="K618" s="2" t="s">
        <v>483</v>
      </c>
      <c r="L618" s="2" t="s">
        <v>784</v>
      </c>
      <c r="M618" s="2" t="n">
        <v>185</v>
      </c>
      <c r="N618" s="3" t="n">
        <v>185246</v>
      </c>
      <c r="O618" s="2"/>
      <c r="P618" s="2" t="n">
        <v>26</v>
      </c>
      <c r="Q618" s="3" t="n">
        <v>1917</v>
      </c>
      <c r="R618" s="2" t="n">
        <v>6.2</v>
      </c>
      <c r="S618" s="2" t="n">
        <v>0</v>
      </c>
      <c r="T618" s="2"/>
      <c r="U618" s="2"/>
      <c r="V618" s="2" t="n">
        <v>2</v>
      </c>
      <c r="W618" s="2"/>
      <c r="X618" s="2"/>
      <c r="Y618" s="2" t="n">
        <v>0.4</v>
      </c>
      <c r="Z618" s="2" t="n">
        <v>0</v>
      </c>
      <c r="AA618" s="2" t="n">
        <v>0</v>
      </c>
      <c r="AB618" s="2"/>
      <c r="AC618" s="2" t="n">
        <v>14</v>
      </c>
      <c r="AD618" s="2" t="n">
        <v>0.7</v>
      </c>
      <c r="AE618" s="2" t="n">
        <v>3</v>
      </c>
      <c r="AF618" s="2" t="n">
        <v>26.8</v>
      </c>
      <c r="AG618" s="2" t="n">
        <v>79</v>
      </c>
      <c r="AH618" s="2" t="n">
        <v>3.1</v>
      </c>
      <c r="AI618" s="2" t="n">
        <v>48.9</v>
      </c>
      <c r="AJ618" s="2" t="n">
        <v>0.4</v>
      </c>
      <c r="AK618" s="2" t="n">
        <v>50</v>
      </c>
      <c r="AL618" s="2"/>
      <c r="AM618" s="2"/>
      <c r="AN618" s="2" t="n">
        <v>4.7</v>
      </c>
      <c r="AO618" s="2" t="n">
        <v>1.3</v>
      </c>
      <c r="AP618" s="2" t="n">
        <v>0.8</v>
      </c>
      <c r="AQ618" s="2" t="n">
        <v>2.3</v>
      </c>
      <c r="AR618" s="2" t="n">
        <v>0.3</v>
      </c>
      <c r="AS618" s="2" t="n">
        <v>3.1</v>
      </c>
      <c r="AT618" s="2" t="n">
        <v>0</v>
      </c>
      <c r="AU618" s="2" t="n">
        <v>1</v>
      </c>
      <c r="AV618" s="2" t="n">
        <v>1.2</v>
      </c>
      <c r="AW618" s="2" t="n">
        <v>7</v>
      </c>
      <c r="AX618" s="2"/>
      <c r="AY618" s="2"/>
      <c r="AZ618" s="2"/>
      <c r="BA618" s="2"/>
      <c r="BB618" s="2"/>
      <c r="BC618" s="2"/>
      <c r="BD618" s="4" t="s">
        <v>2172</v>
      </c>
    </row>
    <row r="619" customFormat="false" ht="15" hidden="false" customHeight="false" outlineLevel="0" collapsed="false">
      <c r="A619" s="2" t="n">
        <v>330468</v>
      </c>
      <c r="B619" s="2" t="s">
        <v>2173</v>
      </c>
      <c r="C619" s="2" t="s">
        <v>2164</v>
      </c>
      <c r="D619" s="2" t="s">
        <v>58</v>
      </c>
      <c r="E619" s="2" t="s">
        <v>59</v>
      </c>
      <c r="F619" s="2" t="s">
        <v>70</v>
      </c>
      <c r="G619" s="2" t="s">
        <v>75</v>
      </c>
      <c r="H619" s="2" t="s">
        <v>75</v>
      </c>
      <c r="I619" s="2" t="n">
        <v>15</v>
      </c>
      <c r="J619" s="2" t="n">
        <v>32</v>
      </c>
      <c r="K619" s="2" t="s">
        <v>2174</v>
      </c>
      <c r="L619" s="2" t="s">
        <v>110</v>
      </c>
      <c r="M619" s="2" t="n">
        <v>193</v>
      </c>
      <c r="N619" s="3" t="n">
        <v>63492</v>
      </c>
      <c r="O619" s="2"/>
      <c r="P619" s="2" t="n">
        <v>20</v>
      </c>
      <c r="Q619" s="3" t="n">
        <v>1775</v>
      </c>
      <c r="R619" s="2" t="n">
        <v>6.24</v>
      </c>
      <c r="S619" s="2" t="n">
        <v>0</v>
      </c>
      <c r="T619" s="2"/>
      <c r="U619" s="2"/>
      <c r="V619" s="2"/>
      <c r="W619" s="2"/>
      <c r="X619" s="2"/>
      <c r="Y619" s="2" t="n">
        <v>0.3</v>
      </c>
      <c r="Z619" s="2"/>
      <c r="AA619" s="2" t="n">
        <v>0</v>
      </c>
      <c r="AB619" s="2"/>
      <c r="AC619" s="2" t="n">
        <v>3</v>
      </c>
      <c r="AD619" s="2" t="n">
        <v>0.2</v>
      </c>
      <c r="AE619" s="2"/>
      <c r="AF619" s="2" t="n">
        <v>38.3</v>
      </c>
      <c r="AG619" s="2" t="n">
        <v>85.1</v>
      </c>
      <c r="AH619" s="2" t="n">
        <v>3.7</v>
      </c>
      <c r="AI619" s="2" t="n">
        <v>52.6</v>
      </c>
      <c r="AJ619" s="2" t="n">
        <v>0.3</v>
      </c>
      <c r="AK619" s="2" t="n">
        <v>71.4</v>
      </c>
      <c r="AL619" s="2"/>
      <c r="AM619" s="2"/>
      <c r="AN619" s="2" t="n">
        <v>10.2</v>
      </c>
      <c r="AO619" s="2" t="n">
        <v>0.8</v>
      </c>
      <c r="AP619" s="2" t="n">
        <v>1.3</v>
      </c>
      <c r="AQ619" s="2" t="n">
        <v>6.7</v>
      </c>
      <c r="AR619" s="2" t="n">
        <v>1.5</v>
      </c>
      <c r="AS619" s="2" t="n">
        <v>2.5</v>
      </c>
      <c r="AT619" s="2"/>
      <c r="AU619" s="2"/>
      <c r="AV619" s="2" t="n">
        <v>1</v>
      </c>
      <c r="AW619" s="2" t="n">
        <v>4</v>
      </c>
      <c r="AX619" s="2" t="n">
        <v>1</v>
      </c>
      <c r="AY619" s="2" t="n">
        <v>1</v>
      </c>
      <c r="AZ619" s="2"/>
      <c r="BA619" s="2"/>
      <c r="BB619" s="2"/>
      <c r="BC619" s="2"/>
      <c r="BD619" s="4" t="s">
        <v>2175</v>
      </c>
    </row>
    <row r="620" customFormat="false" ht="15" hidden="false" customHeight="false" outlineLevel="0" collapsed="false">
      <c r="A620" s="2" t="n">
        <v>1470132</v>
      </c>
      <c r="B620" s="2" t="s">
        <v>2176</v>
      </c>
      <c r="C620" s="2" t="s">
        <v>2164</v>
      </c>
      <c r="D620" s="2" t="s">
        <v>58</v>
      </c>
      <c r="E620" s="2" t="s">
        <v>59</v>
      </c>
      <c r="F620" s="2" t="s">
        <v>70</v>
      </c>
      <c r="G620" s="2" t="s">
        <v>221</v>
      </c>
      <c r="H620" s="2" t="s">
        <v>703</v>
      </c>
      <c r="I620" s="2" t="n">
        <v>3</v>
      </c>
      <c r="J620" s="2" t="n">
        <v>26</v>
      </c>
      <c r="K620" s="2" t="s">
        <v>2177</v>
      </c>
      <c r="L620" s="2" t="s">
        <v>67</v>
      </c>
      <c r="M620" s="2" t="n">
        <v>183</v>
      </c>
      <c r="N620" s="3" t="n">
        <v>63914</v>
      </c>
      <c r="O620" s="2"/>
      <c r="P620" s="2" t="n">
        <v>17</v>
      </c>
      <c r="Q620" s="3" t="n">
        <v>1384</v>
      </c>
      <c r="R620" s="2" t="n">
        <v>6.39</v>
      </c>
      <c r="S620" s="2" t="n">
        <v>0</v>
      </c>
      <c r="T620" s="2" t="n">
        <v>1</v>
      </c>
      <c r="U620" s="2" t="n">
        <v>0</v>
      </c>
      <c r="V620" s="2" t="n">
        <v>2</v>
      </c>
      <c r="W620" s="2"/>
      <c r="X620" s="2" t="n">
        <v>0.07</v>
      </c>
      <c r="Y620" s="2" t="n">
        <v>0.4</v>
      </c>
      <c r="Z620" s="2" t="n">
        <v>0.1</v>
      </c>
      <c r="AA620" s="2" t="n">
        <v>16.7</v>
      </c>
      <c r="AB620" s="2"/>
      <c r="AC620" s="2" t="n">
        <v>16</v>
      </c>
      <c r="AD620" s="2" t="n">
        <v>1</v>
      </c>
      <c r="AE620" s="2" t="n">
        <v>5</v>
      </c>
      <c r="AF620" s="2" t="n">
        <v>24.2</v>
      </c>
      <c r="AG620" s="2" t="n">
        <v>82.1</v>
      </c>
      <c r="AH620" s="2" t="n">
        <v>0.5</v>
      </c>
      <c r="AI620" s="2" t="n">
        <v>21.2</v>
      </c>
      <c r="AJ620" s="2" t="n">
        <v>0.7</v>
      </c>
      <c r="AK620" s="2" t="n">
        <v>37</v>
      </c>
      <c r="AL620" s="2" t="n">
        <v>1</v>
      </c>
      <c r="AM620" s="2" t="n">
        <v>2.1</v>
      </c>
      <c r="AN620" s="2" t="n">
        <v>4.7</v>
      </c>
      <c r="AO620" s="2" t="n">
        <v>1.6</v>
      </c>
      <c r="AP620" s="2" t="n">
        <v>1.1</v>
      </c>
      <c r="AQ620" s="2" t="n">
        <v>2</v>
      </c>
      <c r="AR620" s="2" t="n">
        <v>0.1</v>
      </c>
      <c r="AS620" s="2" t="n">
        <v>3.4</v>
      </c>
      <c r="AT620" s="2" t="n">
        <v>0.2</v>
      </c>
      <c r="AU620" s="2" t="n">
        <v>1.3</v>
      </c>
      <c r="AV620" s="2" t="n">
        <v>1.8</v>
      </c>
      <c r="AW620" s="2" t="n">
        <v>4</v>
      </c>
      <c r="AX620" s="2" t="n">
        <v>1</v>
      </c>
      <c r="AY620" s="2"/>
      <c r="AZ620" s="2"/>
      <c r="BA620" s="2"/>
      <c r="BB620" s="2"/>
      <c r="BC620" s="2"/>
      <c r="BD620" s="4" t="s">
        <v>2178</v>
      </c>
    </row>
    <row r="621" customFormat="false" ht="15" hidden="false" customHeight="false" outlineLevel="0" collapsed="false">
      <c r="A621" s="2" t="n">
        <v>1617267</v>
      </c>
      <c r="B621" s="2" t="s">
        <v>2179</v>
      </c>
      <c r="C621" s="2" t="s">
        <v>2164</v>
      </c>
      <c r="D621" s="2" t="s">
        <v>58</v>
      </c>
      <c r="E621" s="2" t="s">
        <v>59</v>
      </c>
      <c r="F621" s="2" t="s">
        <v>70</v>
      </c>
      <c r="G621" s="2" t="s">
        <v>75</v>
      </c>
      <c r="H621" s="2" t="s">
        <v>75</v>
      </c>
      <c r="I621" s="2" t="n">
        <v>22</v>
      </c>
      <c r="J621" s="2" t="n">
        <v>24</v>
      </c>
      <c r="K621" s="2" t="s">
        <v>2180</v>
      </c>
      <c r="L621" s="2" t="s">
        <v>67</v>
      </c>
      <c r="M621" s="2" t="n">
        <v>188</v>
      </c>
      <c r="N621" s="3" t="n">
        <v>81105</v>
      </c>
      <c r="O621" s="2"/>
      <c r="P621" s="2" t="n">
        <v>19</v>
      </c>
      <c r="Q621" s="3" t="n">
        <v>1238</v>
      </c>
      <c r="R621" s="2" t="n">
        <v>6.32</v>
      </c>
      <c r="S621" s="2" t="n">
        <v>0</v>
      </c>
      <c r="T621" s="2"/>
      <c r="U621" s="2"/>
      <c r="V621" s="2"/>
      <c r="W621" s="2"/>
      <c r="X621" s="2"/>
      <c r="Y621" s="2" t="n">
        <v>0.4</v>
      </c>
      <c r="Z621" s="2"/>
      <c r="AA621" s="2" t="n">
        <v>0</v>
      </c>
      <c r="AB621" s="2" t="n">
        <v>1</v>
      </c>
      <c r="AC621" s="2" t="n">
        <v>1</v>
      </c>
      <c r="AD621" s="2" t="n">
        <v>0.1</v>
      </c>
      <c r="AE621" s="2"/>
      <c r="AF621" s="2" t="n">
        <v>36.3</v>
      </c>
      <c r="AG621" s="2" t="n">
        <v>83.2</v>
      </c>
      <c r="AH621" s="2" t="n">
        <v>3.3</v>
      </c>
      <c r="AI621" s="2" t="n">
        <v>45.5</v>
      </c>
      <c r="AJ621" s="2" t="n">
        <v>0.4</v>
      </c>
      <c r="AK621" s="2" t="n">
        <v>75</v>
      </c>
      <c r="AL621" s="2"/>
      <c r="AM621" s="2"/>
      <c r="AN621" s="2" t="n">
        <v>9.8</v>
      </c>
      <c r="AO621" s="2" t="n">
        <v>2.2</v>
      </c>
      <c r="AP621" s="2" t="n">
        <v>2</v>
      </c>
      <c r="AQ621" s="2" t="n">
        <v>5</v>
      </c>
      <c r="AR621" s="2" t="n">
        <v>0.6</v>
      </c>
      <c r="AS621" s="2" t="n">
        <v>3.1</v>
      </c>
      <c r="AT621" s="2" t="n">
        <v>0.1</v>
      </c>
      <c r="AU621" s="2" t="n">
        <v>1.2</v>
      </c>
      <c r="AV621" s="2" t="n">
        <v>1.7</v>
      </c>
      <c r="AW621" s="2" t="n">
        <v>6</v>
      </c>
      <c r="AX621" s="2"/>
      <c r="AY621" s="2" t="n">
        <v>1</v>
      </c>
      <c r="AZ621" s="2"/>
      <c r="BA621" s="2"/>
      <c r="BB621" s="2"/>
      <c r="BC621" s="2"/>
      <c r="BD621" s="4" t="s">
        <v>2181</v>
      </c>
    </row>
    <row r="622" customFormat="false" ht="15" hidden="false" customHeight="false" outlineLevel="0" collapsed="false">
      <c r="A622" s="2" t="n">
        <v>1059395</v>
      </c>
      <c r="B622" s="2" t="s">
        <v>2182</v>
      </c>
      <c r="C622" s="2" t="s">
        <v>2164</v>
      </c>
      <c r="D622" s="2" t="s">
        <v>58</v>
      </c>
      <c r="E622" s="2" t="s">
        <v>59</v>
      </c>
      <c r="F622" s="2" t="s">
        <v>70</v>
      </c>
      <c r="G622" s="2" t="s">
        <v>75</v>
      </c>
      <c r="H622" s="2" t="s">
        <v>75</v>
      </c>
      <c r="I622" s="2" t="n">
        <v>18</v>
      </c>
      <c r="J622" s="2" t="n">
        <v>29</v>
      </c>
      <c r="K622" s="2" t="s">
        <v>2183</v>
      </c>
      <c r="L622" s="2" t="s">
        <v>105</v>
      </c>
      <c r="M622" s="2" t="n">
        <v>183</v>
      </c>
      <c r="N622" s="3" t="n">
        <v>50000</v>
      </c>
      <c r="O622" s="2"/>
      <c r="P622" s="2" t="n">
        <v>15</v>
      </c>
      <c r="Q622" s="3" t="n">
        <v>1138</v>
      </c>
      <c r="R622" s="2" t="n">
        <v>6.06</v>
      </c>
      <c r="S622" s="2" t="n">
        <v>0</v>
      </c>
      <c r="T622" s="2"/>
      <c r="U622" s="2"/>
      <c r="V622" s="2"/>
      <c r="W622" s="2"/>
      <c r="X622" s="2"/>
      <c r="Y622" s="2" t="n">
        <v>0.3</v>
      </c>
      <c r="Z622" s="2"/>
      <c r="AA622" s="2" t="n">
        <v>0</v>
      </c>
      <c r="AB622" s="2" t="n">
        <v>2</v>
      </c>
      <c r="AC622" s="2" t="n">
        <v>2</v>
      </c>
      <c r="AD622" s="2" t="n">
        <v>0.2</v>
      </c>
      <c r="AE622" s="2"/>
      <c r="AF622" s="2" t="n">
        <v>31.7</v>
      </c>
      <c r="AG622" s="2" t="n">
        <v>80.4</v>
      </c>
      <c r="AH622" s="2" t="n">
        <v>3.4</v>
      </c>
      <c r="AI622" s="2" t="n">
        <v>43.9</v>
      </c>
      <c r="AJ622" s="2" t="n">
        <v>0.1</v>
      </c>
      <c r="AK622" s="2" t="n">
        <v>25</v>
      </c>
      <c r="AL622" s="2"/>
      <c r="AM622" s="2"/>
      <c r="AN622" s="2" t="n">
        <v>8.5</v>
      </c>
      <c r="AO622" s="2" t="n">
        <v>0.7</v>
      </c>
      <c r="AP622" s="2" t="n">
        <v>1.9</v>
      </c>
      <c r="AQ622" s="2" t="n">
        <v>5.3</v>
      </c>
      <c r="AR622" s="2" t="n">
        <v>0.6</v>
      </c>
      <c r="AS622" s="2" t="n">
        <v>3.7</v>
      </c>
      <c r="AT622" s="2" t="n">
        <v>0.2</v>
      </c>
      <c r="AU622" s="2" t="n">
        <v>0.9</v>
      </c>
      <c r="AV622" s="2" t="n">
        <v>0.8</v>
      </c>
      <c r="AW622" s="2" t="n">
        <v>1</v>
      </c>
      <c r="AX622" s="2"/>
      <c r="AY622" s="2" t="n">
        <v>1</v>
      </c>
      <c r="AZ622" s="2"/>
      <c r="BA622" s="2"/>
      <c r="BB622" s="2"/>
      <c r="BC622" s="2"/>
      <c r="BD622" s="4" t="s">
        <v>2184</v>
      </c>
    </row>
    <row r="623" customFormat="false" ht="15" hidden="false" customHeight="false" outlineLevel="0" collapsed="false">
      <c r="A623" s="2" t="n">
        <v>168308</v>
      </c>
      <c r="B623" s="2" t="s">
        <v>2185</v>
      </c>
      <c r="C623" s="2" t="s">
        <v>2164</v>
      </c>
      <c r="D623" s="2" t="s">
        <v>58</v>
      </c>
      <c r="E623" s="2" t="s">
        <v>59</v>
      </c>
      <c r="F623" s="2" t="s">
        <v>70</v>
      </c>
      <c r="G623" s="2" t="s">
        <v>75</v>
      </c>
      <c r="H623" s="2" t="s">
        <v>75</v>
      </c>
      <c r="I623" s="2" t="n">
        <v>27</v>
      </c>
      <c r="J623" s="2" t="n">
        <v>34</v>
      </c>
      <c r="K623" s="2" t="s">
        <v>2186</v>
      </c>
      <c r="L623" s="2" t="s">
        <v>679</v>
      </c>
      <c r="M623" s="2" t="n">
        <v>187</v>
      </c>
      <c r="N623" s="3" t="n">
        <v>204614</v>
      </c>
      <c r="O623" s="2"/>
      <c r="P623" s="2" t="n">
        <v>7</v>
      </c>
      <c r="Q623" s="3" t="n">
        <v>521</v>
      </c>
      <c r="R623" s="2"/>
      <c r="S623" s="2"/>
      <c r="T623" s="2" t="n">
        <v>1</v>
      </c>
      <c r="U623" s="2" t="n">
        <v>0</v>
      </c>
      <c r="V623" s="2"/>
      <c r="W623" s="2"/>
      <c r="X623" s="2"/>
      <c r="Y623" s="2"/>
      <c r="Z623" s="2"/>
      <c r="AA623" s="2"/>
      <c r="AB623" s="2"/>
      <c r="AC623" s="2" t="n">
        <v>2</v>
      </c>
      <c r="AD623" s="2" t="n">
        <v>0.3</v>
      </c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 t="n">
        <v>2</v>
      </c>
      <c r="AX623" s="2"/>
      <c r="AY623" s="2"/>
      <c r="AZ623" s="2"/>
      <c r="BA623" s="2"/>
      <c r="BB623" s="2"/>
      <c r="BC623" s="2"/>
      <c r="BD623" s="4" t="s">
        <v>2187</v>
      </c>
    </row>
    <row r="624" customFormat="false" ht="15" hidden="false" customHeight="false" outlineLevel="0" collapsed="false">
      <c r="A624" s="2" t="n">
        <v>1346880</v>
      </c>
      <c r="B624" s="2" t="s">
        <v>2188</v>
      </c>
      <c r="C624" s="2" t="s">
        <v>2164</v>
      </c>
      <c r="D624" s="2" t="s">
        <v>58</v>
      </c>
      <c r="E624" s="2" t="s">
        <v>59</v>
      </c>
      <c r="F624" s="2" t="s">
        <v>70</v>
      </c>
      <c r="G624" s="2" t="s">
        <v>133</v>
      </c>
      <c r="H624" s="2" t="s">
        <v>2189</v>
      </c>
      <c r="I624" s="2" t="n">
        <v>77</v>
      </c>
      <c r="J624" s="2" t="n">
        <v>22</v>
      </c>
      <c r="K624" s="2" t="s">
        <v>2190</v>
      </c>
      <c r="L624" s="2" t="s">
        <v>67</v>
      </c>
      <c r="M624" s="2" t="n">
        <v>183</v>
      </c>
      <c r="N624" s="3"/>
      <c r="O624" s="2"/>
      <c r="P624" s="2" t="n">
        <v>9</v>
      </c>
      <c r="Q624" s="3" t="n">
        <v>500</v>
      </c>
      <c r="R624" s="2"/>
      <c r="S624" s="2"/>
      <c r="T624" s="2"/>
      <c r="U624" s="2"/>
      <c r="V624" s="2" t="n">
        <v>1</v>
      </c>
      <c r="W624" s="2"/>
      <c r="X624" s="2"/>
      <c r="Y624" s="2"/>
      <c r="Z624" s="2"/>
      <c r="AA624" s="2"/>
      <c r="AB624" s="2"/>
      <c r="AC624" s="2" t="n">
        <v>4</v>
      </c>
      <c r="AD624" s="2" t="n">
        <v>0.7</v>
      </c>
      <c r="AE624" s="2" t="n">
        <v>2</v>
      </c>
      <c r="AF624" s="2"/>
      <c r="AG624" s="2"/>
      <c r="AH624" s="2"/>
      <c r="AI624" s="2"/>
      <c r="AJ624" s="2"/>
      <c r="AK624" s="2"/>
      <c r="AL624" s="2" t="n">
        <v>1</v>
      </c>
      <c r="AM624" s="2" t="n">
        <v>1.4</v>
      </c>
      <c r="AN624" s="2"/>
      <c r="AO624" s="2"/>
      <c r="AP624" s="2"/>
      <c r="AQ624" s="2"/>
      <c r="AR624" s="2"/>
      <c r="AS624" s="2"/>
      <c r="AT624" s="2"/>
      <c r="AU624" s="2"/>
      <c r="AV624" s="2"/>
      <c r="AW624" s="2" t="n">
        <v>2</v>
      </c>
      <c r="AX624" s="2"/>
      <c r="AY624" s="2" t="n">
        <v>1</v>
      </c>
      <c r="AZ624" s="2"/>
      <c r="BA624" s="2"/>
      <c r="BB624" s="2"/>
      <c r="BC624" s="2"/>
      <c r="BD624" s="4" t="s">
        <v>2191</v>
      </c>
    </row>
    <row r="625" customFormat="false" ht="15" hidden="false" customHeight="false" outlineLevel="0" collapsed="false">
      <c r="A625" s="2" t="n">
        <v>1177861</v>
      </c>
      <c r="B625" s="2" t="s">
        <v>2192</v>
      </c>
      <c r="C625" s="2" t="s">
        <v>2164</v>
      </c>
      <c r="D625" s="2" t="s">
        <v>58</v>
      </c>
      <c r="E625" s="2" t="s">
        <v>59</v>
      </c>
      <c r="F625" s="2" t="s">
        <v>70</v>
      </c>
      <c r="G625" s="2" t="s">
        <v>75</v>
      </c>
      <c r="H625" s="2" t="s">
        <v>75</v>
      </c>
      <c r="I625" s="2" t="n">
        <v>99</v>
      </c>
      <c r="J625" s="2" t="n">
        <v>24</v>
      </c>
      <c r="K625" s="2" t="s">
        <v>2193</v>
      </c>
      <c r="L625" s="2" t="s">
        <v>89</v>
      </c>
      <c r="M625" s="2" t="n">
        <v>191</v>
      </c>
      <c r="N625" s="3" t="n">
        <v>54840</v>
      </c>
      <c r="O625" s="2"/>
      <c r="P625" s="2" t="n">
        <v>5</v>
      </c>
      <c r="Q625" s="3" t="n">
        <v>450</v>
      </c>
      <c r="R625" s="2"/>
      <c r="S625" s="2"/>
      <c r="T625" s="2" t="n">
        <v>1</v>
      </c>
      <c r="U625" s="2" t="n">
        <v>0</v>
      </c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 t="n">
        <v>1</v>
      </c>
      <c r="AX625" s="2"/>
      <c r="AY625" s="2" t="n">
        <v>1</v>
      </c>
      <c r="AZ625" s="2"/>
      <c r="BA625" s="2"/>
      <c r="BB625" s="2"/>
      <c r="BC625" s="2"/>
      <c r="BD625" s="4" t="s">
        <v>2194</v>
      </c>
    </row>
    <row r="626" customFormat="false" ht="15" hidden="false" customHeight="false" outlineLevel="0" collapsed="false">
      <c r="A626" s="2" t="n">
        <v>658133</v>
      </c>
      <c r="B626" s="2" t="s">
        <v>2195</v>
      </c>
      <c r="C626" s="2" t="s">
        <v>2164</v>
      </c>
      <c r="D626" s="2" t="s">
        <v>58</v>
      </c>
      <c r="E626" s="2" t="s">
        <v>59</v>
      </c>
      <c r="F626" s="2" t="s">
        <v>70</v>
      </c>
      <c r="G626" s="2" t="s">
        <v>71</v>
      </c>
      <c r="H626" s="2" t="s">
        <v>2196</v>
      </c>
      <c r="I626" s="2" t="n">
        <v>21</v>
      </c>
      <c r="J626" s="2" t="n">
        <v>29</v>
      </c>
      <c r="K626" s="2" t="s">
        <v>2197</v>
      </c>
      <c r="L626" s="2" t="s">
        <v>116</v>
      </c>
      <c r="M626" s="2" t="n">
        <v>188</v>
      </c>
      <c r="N626" s="3" t="n">
        <v>75094</v>
      </c>
      <c r="O626" s="2"/>
      <c r="P626" s="2" t="n">
        <v>6</v>
      </c>
      <c r="Q626" s="3" t="n">
        <v>417</v>
      </c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 t="n">
        <v>1</v>
      </c>
      <c r="AD626" s="2" t="n">
        <v>0.2</v>
      </c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4" t="s">
        <v>2198</v>
      </c>
    </row>
    <row r="627" customFormat="false" ht="15" hidden="false" customHeight="false" outlineLevel="0" collapsed="false">
      <c r="A627" s="2" t="n">
        <v>415706</v>
      </c>
      <c r="B627" s="2" t="s">
        <v>2199</v>
      </c>
      <c r="C627" s="2" t="s">
        <v>2164</v>
      </c>
      <c r="D627" s="2" t="s">
        <v>58</v>
      </c>
      <c r="E627" s="2" t="s">
        <v>59</v>
      </c>
      <c r="F627" s="2" t="s">
        <v>70</v>
      </c>
      <c r="G627" s="2" t="s">
        <v>75</v>
      </c>
      <c r="H627" s="2" t="s">
        <v>75</v>
      </c>
      <c r="I627" s="2" t="n">
        <v>13</v>
      </c>
      <c r="J627" s="2" t="n">
        <v>34</v>
      </c>
      <c r="K627" s="2" t="s">
        <v>2200</v>
      </c>
      <c r="L627" s="2" t="s">
        <v>67</v>
      </c>
      <c r="M627" s="2" t="n">
        <v>181</v>
      </c>
      <c r="N627" s="3"/>
      <c r="O627" s="2"/>
      <c r="P627" s="2" t="n">
        <v>6</v>
      </c>
      <c r="Q627" s="3" t="n">
        <v>405</v>
      </c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 t="n">
        <v>3</v>
      </c>
      <c r="AX627" s="2"/>
      <c r="AY627" s="2"/>
      <c r="AZ627" s="2"/>
      <c r="BA627" s="2"/>
      <c r="BB627" s="2"/>
      <c r="BC627" s="2"/>
      <c r="BD627" s="4" t="s">
        <v>2201</v>
      </c>
    </row>
    <row r="628" customFormat="false" ht="15" hidden="false" customHeight="false" outlineLevel="0" collapsed="false">
      <c r="A628" s="2" t="n">
        <v>1676058</v>
      </c>
      <c r="B628" s="2" t="s">
        <v>2202</v>
      </c>
      <c r="C628" s="2" t="s">
        <v>2164</v>
      </c>
      <c r="D628" s="2" t="s">
        <v>58</v>
      </c>
      <c r="E628" s="2" t="s">
        <v>59</v>
      </c>
      <c r="F628" s="2" t="s">
        <v>70</v>
      </c>
      <c r="G628" s="2" t="s">
        <v>75</v>
      </c>
      <c r="H628" s="2" t="s">
        <v>75</v>
      </c>
      <c r="I628" s="2" t="n">
        <v>4</v>
      </c>
      <c r="J628" s="2" t="n">
        <v>26</v>
      </c>
      <c r="K628" s="2" t="s">
        <v>787</v>
      </c>
      <c r="L628" s="2" t="s">
        <v>67</v>
      </c>
      <c r="M628" s="2" t="n">
        <v>191</v>
      </c>
      <c r="N628" s="3" t="n">
        <v>106993</v>
      </c>
      <c r="O628" s="2"/>
      <c r="P628" s="2"/>
      <c r="Q628" s="3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4" t="s">
        <v>2203</v>
      </c>
    </row>
    <row r="629" customFormat="false" ht="15" hidden="false" customHeight="false" outlineLevel="0" collapsed="false">
      <c r="A629" s="2" t="n">
        <v>516002</v>
      </c>
      <c r="B629" s="2" t="s">
        <v>2204</v>
      </c>
      <c r="C629" s="2" t="s">
        <v>2164</v>
      </c>
      <c r="D629" s="2" t="s">
        <v>58</v>
      </c>
      <c r="E629" s="2" t="s">
        <v>59</v>
      </c>
      <c r="F629" s="2" t="s">
        <v>102</v>
      </c>
      <c r="G629" s="2" t="s">
        <v>404</v>
      </c>
      <c r="H629" s="2" t="s">
        <v>597</v>
      </c>
      <c r="I629" s="2" t="n">
        <v>6</v>
      </c>
      <c r="J629" s="2" t="n">
        <v>29</v>
      </c>
      <c r="K629" s="2" t="s">
        <v>2205</v>
      </c>
      <c r="L629" s="2" t="s">
        <v>110</v>
      </c>
      <c r="M629" s="2" t="n">
        <v>178</v>
      </c>
      <c r="N629" s="3" t="n">
        <v>50000</v>
      </c>
      <c r="O629" s="2"/>
      <c r="P629" s="2" t="n">
        <v>24</v>
      </c>
      <c r="Q629" s="3" t="n">
        <v>2051</v>
      </c>
      <c r="R629" s="2" t="n">
        <v>6.37</v>
      </c>
      <c r="S629" s="2" t="n">
        <v>0</v>
      </c>
      <c r="T629" s="2"/>
      <c r="U629" s="2"/>
      <c r="V629" s="2" t="n">
        <v>1</v>
      </c>
      <c r="W629" s="2"/>
      <c r="X629" s="2"/>
      <c r="Y629" s="2" t="n">
        <v>0.4</v>
      </c>
      <c r="Z629" s="2" t="n">
        <v>0</v>
      </c>
      <c r="AA629" s="2" t="n">
        <v>0</v>
      </c>
      <c r="AB629" s="2"/>
      <c r="AC629" s="2" t="n">
        <v>7</v>
      </c>
      <c r="AD629" s="2" t="n">
        <v>0.3</v>
      </c>
      <c r="AE629" s="2"/>
      <c r="AF629" s="2" t="n">
        <v>30</v>
      </c>
      <c r="AG629" s="2" t="n">
        <v>83.7</v>
      </c>
      <c r="AH629" s="2" t="n">
        <v>1.7</v>
      </c>
      <c r="AI629" s="2" t="n">
        <v>45.3</v>
      </c>
      <c r="AJ629" s="2" t="n">
        <v>0.1</v>
      </c>
      <c r="AK629" s="2" t="n">
        <v>50</v>
      </c>
      <c r="AL629" s="2"/>
      <c r="AM629" s="2"/>
      <c r="AN629" s="2" t="n">
        <v>5.4</v>
      </c>
      <c r="AO629" s="2" t="n">
        <v>1.5</v>
      </c>
      <c r="AP629" s="2" t="n">
        <v>1.1</v>
      </c>
      <c r="AQ629" s="2" t="n">
        <v>2.4</v>
      </c>
      <c r="AR629" s="2" t="n">
        <v>0.4</v>
      </c>
      <c r="AS629" s="2" t="n">
        <v>2.8</v>
      </c>
      <c r="AT629" s="2" t="n">
        <v>0.4</v>
      </c>
      <c r="AU629" s="2" t="n">
        <v>1.3</v>
      </c>
      <c r="AV629" s="2" t="n">
        <v>1.1</v>
      </c>
      <c r="AW629" s="2" t="n">
        <v>4</v>
      </c>
      <c r="AX629" s="2" t="n">
        <v>1</v>
      </c>
      <c r="AY629" s="2"/>
      <c r="AZ629" s="2"/>
      <c r="BA629" s="2"/>
      <c r="BB629" s="2"/>
      <c r="BC629" s="2"/>
      <c r="BD629" s="4" t="s">
        <v>2206</v>
      </c>
    </row>
    <row r="630" customFormat="false" ht="15" hidden="false" customHeight="false" outlineLevel="0" collapsed="false">
      <c r="A630" s="2" t="n">
        <v>495686</v>
      </c>
      <c r="B630" s="2" t="s">
        <v>2207</v>
      </c>
      <c r="C630" s="2" t="s">
        <v>2164</v>
      </c>
      <c r="D630" s="2" t="s">
        <v>58</v>
      </c>
      <c r="E630" s="2" t="s">
        <v>59</v>
      </c>
      <c r="F630" s="2" t="s">
        <v>102</v>
      </c>
      <c r="G630" s="2" t="s">
        <v>427</v>
      </c>
      <c r="H630" s="2" t="s">
        <v>2208</v>
      </c>
      <c r="I630" s="2" t="n">
        <v>12</v>
      </c>
      <c r="J630" s="2" t="n">
        <v>30</v>
      </c>
      <c r="K630" s="2" t="s">
        <v>2209</v>
      </c>
      <c r="L630" s="2" t="s">
        <v>995</v>
      </c>
      <c r="M630" s="2" t="n">
        <v>173</v>
      </c>
      <c r="N630" s="3" t="n">
        <v>52635</v>
      </c>
      <c r="O630" s="2"/>
      <c r="P630" s="2" t="n">
        <v>18</v>
      </c>
      <c r="Q630" s="3" t="n">
        <v>1296</v>
      </c>
      <c r="R630" s="2" t="n">
        <v>6.64</v>
      </c>
      <c r="S630" s="2" t="n">
        <v>0</v>
      </c>
      <c r="T630" s="2"/>
      <c r="U630" s="2"/>
      <c r="V630" s="2" t="n">
        <v>3</v>
      </c>
      <c r="W630" s="2"/>
      <c r="X630" s="2"/>
      <c r="Y630" s="2" t="n">
        <v>0.5</v>
      </c>
      <c r="Z630" s="2" t="n">
        <v>0.3</v>
      </c>
      <c r="AA630" s="2" t="n">
        <v>0</v>
      </c>
      <c r="AB630" s="2" t="n">
        <v>2</v>
      </c>
      <c r="AC630" s="2" t="n">
        <v>25</v>
      </c>
      <c r="AD630" s="2" t="n">
        <v>1.7</v>
      </c>
      <c r="AE630" s="2" t="n">
        <v>5</v>
      </c>
      <c r="AF630" s="2" t="n">
        <v>24.2</v>
      </c>
      <c r="AG630" s="2" t="n">
        <v>81.7</v>
      </c>
      <c r="AH630" s="2" t="n">
        <v>1.4</v>
      </c>
      <c r="AI630" s="2" t="n">
        <v>64.5</v>
      </c>
      <c r="AJ630" s="2" t="n">
        <v>0.6</v>
      </c>
      <c r="AK630" s="2" t="n">
        <v>33.3</v>
      </c>
      <c r="AL630" s="2"/>
      <c r="AM630" s="2"/>
      <c r="AN630" s="2" t="n">
        <v>3.1</v>
      </c>
      <c r="AO630" s="2" t="n">
        <v>0.6</v>
      </c>
      <c r="AP630" s="2" t="n">
        <v>1</v>
      </c>
      <c r="AQ630" s="2" t="n">
        <v>1</v>
      </c>
      <c r="AR630" s="2" t="n">
        <v>0.4</v>
      </c>
      <c r="AS630" s="2" t="n">
        <v>3.5</v>
      </c>
      <c r="AT630" s="2" t="n">
        <v>0.2</v>
      </c>
      <c r="AU630" s="2" t="n">
        <v>1.7</v>
      </c>
      <c r="AV630" s="2" t="n">
        <v>0.4</v>
      </c>
      <c r="AW630" s="2" t="n">
        <v>2</v>
      </c>
      <c r="AX630" s="2"/>
      <c r="AY630" s="2"/>
      <c r="AZ630" s="2"/>
      <c r="BA630" s="2"/>
      <c r="BB630" s="2"/>
      <c r="BC630" s="2"/>
      <c r="BD630" s="4" t="s">
        <v>2210</v>
      </c>
    </row>
    <row r="631" customFormat="false" ht="15" hidden="false" customHeight="false" outlineLevel="0" collapsed="false">
      <c r="A631" s="2" t="n">
        <v>941737</v>
      </c>
      <c r="B631" s="2" t="s">
        <v>2211</v>
      </c>
      <c r="C631" s="2" t="s">
        <v>2164</v>
      </c>
      <c r="D631" s="2" t="s">
        <v>58</v>
      </c>
      <c r="E631" s="2" t="s">
        <v>59</v>
      </c>
      <c r="F631" s="2" t="s">
        <v>102</v>
      </c>
      <c r="G631" s="2" t="s">
        <v>133</v>
      </c>
      <c r="H631" s="2" t="s">
        <v>2212</v>
      </c>
      <c r="I631" s="2" t="n">
        <v>8</v>
      </c>
      <c r="J631" s="2" t="n">
        <v>28</v>
      </c>
      <c r="K631" s="2" t="s">
        <v>1088</v>
      </c>
      <c r="L631" s="2" t="s">
        <v>2213</v>
      </c>
      <c r="M631" s="2" t="n">
        <v>178</v>
      </c>
      <c r="N631" s="3" t="n">
        <v>57700</v>
      </c>
      <c r="O631" s="2"/>
      <c r="P631" s="2" t="n">
        <v>21</v>
      </c>
      <c r="Q631" s="3" t="n">
        <v>1204</v>
      </c>
      <c r="R631" s="2" t="n">
        <v>6.67</v>
      </c>
      <c r="S631" s="2" t="n">
        <v>0</v>
      </c>
      <c r="T631" s="2" t="n">
        <v>4</v>
      </c>
      <c r="U631" s="2" t="n">
        <v>0</v>
      </c>
      <c r="V631" s="2"/>
      <c r="W631" s="2"/>
      <c r="X631" s="2" t="n">
        <v>0.3</v>
      </c>
      <c r="Y631" s="2" t="n">
        <v>1.3</v>
      </c>
      <c r="Z631" s="2" t="n">
        <v>0.5</v>
      </c>
      <c r="AA631" s="2" t="n">
        <v>22.2</v>
      </c>
      <c r="AB631" s="2"/>
      <c r="AC631" s="2" t="n">
        <v>12</v>
      </c>
      <c r="AD631" s="2" t="n">
        <v>0.9</v>
      </c>
      <c r="AE631" s="2"/>
      <c r="AF631" s="2" t="n">
        <v>28.6</v>
      </c>
      <c r="AG631" s="2" t="n">
        <v>88.5</v>
      </c>
      <c r="AH631" s="2" t="n">
        <v>0.9</v>
      </c>
      <c r="AI631" s="2" t="n">
        <v>44.4</v>
      </c>
      <c r="AJ631" s="2" t="n">
        <v>0.1</v>
      </c>
      <c r="AK631" s="2" t="n">
        <v>100</v>
      </c>
      <c r="AL631" s="2"/>
      <c r="AM631" s="2"/>
      <c r="AN631" s="2" t="n">
        <v>4.3</v>
      </c>
      <c r="AO631" s="2" t="n">
        <v>2</v>
      </c>
      <c r="AP631" s="2" t="n">
        <v>0.6</v>
      </c>
      <c r="AQ631" s="2" t="n">
        <v>1.6</v>
      </c>
      <c r="AR631" s="2" t="n">
        <v>0.1</v>
      </c>
      <c r="AS631" s="2" t="n">
        <v>2.5</v>
      </c>
      <c r="AT631" s="2" t="n">
        <v>0.4</v>
      </c>
      <c r="AU631" s="2" t="n">
        <v>1.5</v>
      </c>
      <c r="AV631" s="2" t="n">
        <v>1.9</v>
      </c>
      <c r="AW631" s="2" t="n">
        <v>6</v>
      </c>
      <c r="AX631" s="2"/>
      <c r="AY631" s="2"/>
      <c r="AZ631" s="2"/>
      <c r="BA631" s="2"/>
      <c r="BB631" s="2"/>
      <c r="BC631" s="2"/>
      <c r="BD631" s="4" t="s">
        <v>2214</v>
      </c>
    </row>
    <row r="632" customFormat="false" ht="15" hidden="false" customHeight="false" outlineLevel="0" collapsed="false">
      <c r="A632" s="2" t="n">
        <v>1562361</v>
      </c>
      <c r="B632" s="2" t="s">
        <v>2215</v>
      </c>
      <c r="C632" s="2" t="s">
        <v>2164</v>
      </c>
      <c r="D632" s="2" t="s">
        <v>58</v>
      </c>
      <c r="E632" s="2" t="s">
        <v>59</v>
      </c>
      <c r="F632" s="2" t="s">
        <v>102</v>
      </c>
      <c r="G632" s="2" t="s">
        <v>133</v>
      </c>
      <c r="H632" s="2" t="s">
        <v>2216</v>
      </c>
      <c r="I632" s="2" t="n">
        <v>19</v>
      </c>
      <c r="J632" s="2" t="n">
        <v>24</v>
      </c>
      <c r="K632" s="2" t="s">
        <v>2217</v>
      </c>
      <c r="L632" s="2" t="s">
        <v>110</v>
      </c>
      <c r="M632" s="2" t="n">
        <v>173</v>
      </c>
      <c r="N632" s="3" t="n">
        <v>98351</v>
      </c>
      <c r="O632" s="2"/>
      <c r="P632" s="2" t="n">
        <v>20</v>
      </c>
      <c r="Q632" s="3" t="n">
        <v>1166</v>
      </c>
      <c r="R632" s="2" t="n">
        <v>6.73</v>
      </c>
      <c r="S632" s="2" t="n">
        <v>0</v>
      </c>
      <c r="T632" s="2" t="n">
        <v>3</v>
      </c>
      <c r="U632" s="2" t="n">
        <v>0</v>
      </c>
      <c r="V632" s="2" t="n">
        <v>2</v>
      </c>
      <c r="W632" s="2"/>
      <c r="X632" s="2" t="n">
        <v>0.23</v>
      </c>
      <c r="Y632" s="2" t="n">
        <v>1.9</v>
      </c>
      <c r="Z632" s="2" t="n">
        <v>0.8</v>
      </c>
      <c r="AA632" s="2" t="n">
        <v>12</v>
      </c>
      <c r="AB632" s="2" t="n">
        <v>2</v>
      </c>
      <c r="AC632" s="2" t="n">
        <v>21</v>
      </c>
      <c r="AD632" s="2" t="n">
        <v>1.6</v>
      </c>
      <c r="AE632" s="2" t="n">
        <v>7</v>
      </c>
      <c r="AF632" s="2" t="n">
        <v>17.8</v>
      </c>
      <c r="AG632" s="2" t="n">
        <v>74</v>
      </c>
      <c r="AH632" s="2" t="n">
        <v>1</v>
      </c>
      <c r="AI632" s="2" t="n">
        <v>38.2</v>
      </c>
      <c r="AJ632" s="2" t="n">
        <v>0.9</v>
      </c>
      <c r="AK632" s="2" t="n">
        <v>57.1</v>
      </c>
      <c r="AL632" s="2" t="n">
        <v>1</v>
      </c>
      <c r="AM632" s="2" t="n">
        <v>0.8</v>
      </c>
      <c r="AN632" s="2" t="n">
        <v>2.2</v>
      </c>
      <c r="AO632" s="2" t="n">
        <v>1.2</v>
      </c>
      <c r="AP632" s="2" t="n">
        <v>0.5</v>
      </c>
      <c r="AQ632" s="2" t="n">
        <v>0.5</v>
      </c>
      <c r="AR632" s="2" t="n">
        <v>0.1</v>
      </c>
      <c r="AS632" s="2" t="n">
        <v>2.8</v>
      </c>
      <c r="AT632" s="2" t="n">
        <v>0.6</v>
      </c>
      <c r="AU632" s="2" t="n">
        <v>1.4</v>
      </c>
      <c r="AV632" s="2" t="n">
        <v>1.3</v>
      </c>
      <c r="AW632" s="2" t="n">
        <v>2</v>
      </c>
      <c r="AX632" s="2"/>
      <c r="AY632" s="2"/>
      <c r="AZ632" s="2"/>
      <c r="BA632" s="2"/>
      <c r="BB632" s="2"/>
      <c r="BC632" s="2"/>
      <c r="BD632" s="4" t="s">
        <v>2218</v>
      </c>
    </row>
    <row r="633" customFormat="false" ht="15" hidden="false" customHeight="false" outlineLevel="0" collapsed="false">
      <c r="A633" s="2" t="n">
        <v>855399</v>
      </c>
      <c r="B633" s="2" t="s">
        <v>2219</v>
      </c>
      <c r="C633" s="2" t="s">
        <v>2164</v>
      </c>
      <c r="D633" s="2" t="s">
        <v>58</v>
      </c>
      <c r="E633" s="2" t="s">
        <v>59</v>
      </c>
      <c r="F633" s="2" t="s">
        <v>102</v>
      </c>
      <c r="G633" s="2" t="s">
        <v>404</v>
      </c>
      <c r="H633" s="2" t="s">
        <v>597</v>
      </c>
      <c r="I633" s="2" t="n">
        <v>44</v>
      </c>
      <c r="J633" s="2" t="n">
        <v>29</v>
      </c>
      <c r="K633" s="2" t="s">
        <v>2220</v>
      </c>
      <c r="L633" s="2" t="s">
        <v>2221</v>
      </c>
      <c r="M633" s="2" t="n">
        <v>178</v>
      </c>
      <c r="N633" s="3" t="n">
        <v>50000</v>
      </c>
      <c r="O633" s="2"/>
      <c r="P633" s="2" t="n">
        <v>18</v>
      </c>
      <c r="Q633" s="3" t="n">
        <v>853</v>
      </c>
      <c r="R633" s="2" t="n">
        <v>6.51</v>
      </c>
      <c r="S633" s="2" t="n">
        <v>0</v>
      </c>
      <c r="T633" s="2"/>
      <c r="U633" s="2"/>
      <c r="V633" s="2"/>
      <c r="W633" s="2"/>
      <c r="X633" s="2"/>
      <c r="Y633" s="2" t="n">
        <v>0.6</v>
      </c>
      <c r="Z633" s="2" t="n">
        <v>0.2</v>
      </c>
      <c r="AA633" s="2" t="n">
        <v>0</v>
      </c>
      <c r="AB633" s="2"/>
      <c r="AC633" s="2" t="n">
        <v>3</v>
      </c>
      <c r="AD633" s="2" t="n">
        <v>0.3</v>
      </c>
      <c r="AE633" s="2"/>
      <c r="AF633" s="2" t="n">
        <v>28.8</v>
      </c>
      <c r="AG633" s="2" t="n">
        <v>81.3</v>
      </c>
      <c r="AH633" s="2" t="n">
        <v>1.5</v>
      </c>
      <c r="AI633" s="2" t="n">
        <v>43.8</v>
      </c>
      <c r="AJ633" s="2" t="n">
        <v>0.4</v>
      </c>
      <c r="AK633" s="2" t="n">
        <v>66.7</v>
      </c>
      <c r="AL633" s="2"/>
      <c r="AM633" s="2"/>
      <c r="AN633" s="2" t="n">
        <v>5.7</v>
      </c>
      <c r="AO633" s="2" t="n">
        <v>2.6</v>
      </c>
      <c r="AP633" s="2" t="n">
        <v>1.6</v>
      </c>
      <c r="AQ633" s="2" t="n">
        <v>1.2</v>
      </c>
      <c r="AR633" s="2" t="n">
        <v>0.3</v>
      </c>
      <c r="AS633" s="2" t="n">
        <v>4.6</v>
      </c>
      <c r="AT633" s="2" t="n">
        <v>0.2</v>
      </c>
      <c r="AU633" s="2" t="n">
        <v>3</v>
      </c>
      <c r="AV633" s="2" t="n">
        <v>1.2</v>
      </c>
      <c r="AW633" s="2" t="n">
        <v>2</v>
      </c>
      <c r="AX633" s="2"/>
      <c r="AY633" s="2"/>
      <c r="AZ633" s="2"/>
      <c r="BA633" s="2"/>
      <c r="BB633" s="2"/>
      <c r="BC633" s="2"/>
      <c r="BD633" s="4" t="s">
        <v>2222</v>
      </c>
    </row>
    <row r="634" customFormat="false" ht="15" hidden="false" customHeight="false" outlineLevel="0" collapsed="false">
      <c r="A634" s="2" t="n">
        <v>1026054</v>
      </c>
      <c r="B634" s="2" t="s">
        <v>2223</v>
      </c>
      <c r="C634" s="2" t="s">
        <v>2164</v>
      </c>
      <c r="D634" s="2" t="s">
        <v>58</v>
      </c>
      <c r="E634" s="2" t="s">
        <v>59</v>
      </c>
      <c r="F634" s="2" t="s">
        <v>102</v>
      </c>
      <c r="G634" s="2" t="s">
        <v>138</v>
      </c>
      <c r="H634" s="2" t="s">
        <v>2224</v>
      </c>
      <c r="I634" s="2" t="n">
        <v>24</v>
      </c>
      <c r="J634" s="2" t="n">
        <v>25</v>
      </c>
      <c r="K634" s="2" t="s">
        <v>2225</v>
      </c>
      <c r="L634" s="2" t="s">
        <v>67</v>
      </c>
      <c r="M634" s="2" t="n">
        <v>185</v>
      </c>
      <c r="N634" s="3" t="n">
        <v>65556</v>
      </c>
      <c r="O634" s="2"/>
      <c r="P634" s="2" t="n">
        <v>12</v>
      </c>
      <c r="Q634" s="3" t="n">
        <v>654</v>
      </c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 t="n">
        <v>4</v>
      </c>
      <c r="AD634" s="2" t="n">
        <v>0.6</v>
      </c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4" t="s">
        <v>2226</v>
      </c>
    </row>
    <row r="635" customFormat="false" ht="15" hidden="false" customHeight="false" outlineLevel="0" collapsed="false">
      <c r="A635" s="2" t="n">
        <v>305454</v>
      </c>
      <c r="B635" s="2" t="s">
        <v>2227</v>
      </c>
      <c r="C635" s="2" t="s">
        <v>2164</v>
      </c>
      <c r="D635" s="2" t="s">
        <v>58</v>
      </c>
      <c r="E635" s="2" t="s">
        <v>59</v>
      </c>
      <c r="F635" s="2" t="s">
        <v>102</v>
      </c>
      <c r="G635" s="2" t="s">
        <v>404</v>
      </c>
      <c r="H635" s="2" t="s">
        <v>2228</v>
      </c>
      <c r="I635" s="2" t="n">
        <v>14</v>
      </c>
      <c r="J635" s="2" t="n">
        <v>32</v>
      </c>
      <c r="K635" s="2" t="s">
        <v>2229</v>
      </c>
      <c r="L635" s="2" t="s">
        <v>178</v>
      </c>
      <c r="M635" s="2" t="n">
        <v>168</v>
      </c>
      <c r="N635" s="3" t="n">
        <v>144683</v>
      </c>
      <c r="O635" s="2"/>
      <c r="P635" s="2" t="n">
        <v>8</v>
      </c>
      <c r="Q635" s="3" t="n">
        <v>632</v>
      </c>
      <c r="R635" s="2"/>
      <c r="S635" s="2"/>
      <c r="T635" s="2"/>
      <c r="U635" s="2"/>
      <c r="V635" s="2" t="n">
        <v>2</v>
      </c>
      <c r="W635" s="2"/>
      <c r="X635" s="2"/>
      <c r="Y635" s="2"/>
      <c r="Z635" s="2"/>
      <c r="AA635" s="2"/>
      <c r="AB635" s="2"/>
      <c r="AC635" s="2" t="n">
        <v>18</v>
      </c>
      <c r="AD635" s="2" t="n">
        <v>2.6</v>
      </c>
      <c r="AE635" s="2" t="n">
        <v>2</v>
      </c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 t="n">
        <v>3</v>
      </c>
      <c r="AX635" s="2"/>
      <c r="AY635" s="2"/>
      <c r="AZ635" s="2"/>
      <c r="BA635" s="2"/>
      <c r="BB635" s="2"/>
      <c r="BC635" s="2"/>
      <c r="BD635" s="4" t="s">
        <v>2230</v>
      </c>
    </row>
    <row r="636" customFormat="false" ht="15" hidden="false" customHeight="false" outlineLevel="0" collapsed="false">
      <c r="A636" s="2" t="n">
        <v>562876</v>
      </c>
      <c r="B636" s="2" t="s">
        <v>2231</v>
      </c>
      <c r="C636" s="2" t="s">
        <v>2164</v>
      </c>
      <c r="D636" s="2" t="s">
        <v>58</v>
      </c>
      <c r="E636" s="2" t="s">
        <v>59</v>
      </c>
      <c r="F636" s="2" t="s">
        <v>102</v>
      </c>
      <c r="G636" s="2" t="s">
        <v>404</v>
      </c>
      <c r="H636" s="2" t="s">
        <v>404</v>
      </c>
      <c r="I636" s="2" t="n">
        <v>32</v>
      </c>
      <c r="J636" s="2" t="n">
        <v>30</v>
      </c>
      <c r="K636" s="2" t="s">
        <v>2232</v>
      </c>
      <c r="L636" s="2" t="s">
        <v>629</v>
      </c>
      <c r="M636" s="2" t="n">
        <v>185</v>
      </c>
      <c r="N636" s="3" t="n">
        <v>50000</v>
      </c>
      <c r="O636" s="2"/>
      <c r="P636" s="2" t="n">
        <v>4</v>
      </c>
      <c r="Q636" s="3" t="n">
        <v>322</v>
      </c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 t="n">
        <v>2</v>
      </c>
      <c r="AX636" s="2"/>
      <c r="AY636" s="2"/>
      <c r="AZ636" s="2"/>
      <c r="BA636" s="2"/>
      <c r="BB636" s="2"/>
      <c r="BC636" s="2"/>
      <c r="BD636" s="4" t="s">
        <v>2233</v>
      </c>
    </row>
    <row r="637" customFormat="false" ht="15" hidden="false" customHeight="false" outlineLevel="0" collapsed="false">
      <c r="A637" s="2" t="n">
        <v>1658520</v>
      </c>
      <c r="B637" s="2" t="s">
        <v>2234</v>
      </c>
      <c r="C637" s="2" t="s">
        <v>2164</v>
      </c>
      <c r="D637" s="2" t="s">
        <v>58</v>
      </c>
      <c r="E637" s="2" t="s">
        <v>59</v>
      </c>
      <c r="F637" s="2" t="s">
        <v>102</v>
      </c>
      <c r="G637" s="2" t="s">
        <v>113</v>
      </c>
      <c r="H637" s="2" t="s">
        <v>113</v>
      </c>
      <c r="I637" s="2" t="n">
        <v>17</v>
      </c>
      <c r="J637" s="2" t="n">
        <v>19</v>
      </c>
      <c r="K637" s="2" t="s">
        <v>2235</v>
      </c>
      <c r="L637" s="2" t="s">
        <v>67</v>
      </c>
      <c r="M637" s="2" t="n">
        <v>175</v>
      </c>
      <c r="N637" s="3"/>
      <c r="O637" s="2"/>
      <c r="P637" s="2" t="n">
        <v>6</v>
      </c>
      <c r="Q637" s="3" t="n">
        <v>261</v>
      </c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 t="n">
        <v>1</v>
      </c>
      <c r="AC637" s="2" t="n">
        <v>3</v>
      </c>
      <c r="AD637" s="2" t="n">
        <v>1</v>
      </c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4" t="s">
        <v>2236</v>
      </c>
    </row>
    <row r="638" customFormat="false" ht="15" hidden="false" customHeight="false" outlineLevel="0" collapsed="false">
      <c r="A638" s="2" t="n">
        <v>1348312</v>
      </c>
      <c r="B638" s="2" t="s">
        <v>2237</v>
      </c>
      <c r="C638" s="2" t="s">
        <v>2164</v>
      </c>
      <c r="D638" s="2" t="s">
        <v>58</v>
      </c>
      <c r="E638" s="2" t="s">
        <v>59</v>
      </c>
      <c r="F638" s="2" t="s">
        <v>102</v>
      </c>
      <c r="G638" s="2" t="s">
        <v>404</v>
      </c>
      <c r="H638" s="2" t="s">
        <v>404</v>
      </c>
      <c r="I638" s="2" t="n">
        <v>7</v>
      </c>
      <c r="J638" s="2" t="n">
        <v>28</v>
      </c>
      <c r="K638" s="2" t="s">
        <v>2238</v>
      </c>
      <c r="L638" s="2" t="s">
        <v>110</v>
      </c>
      <c r="M638" s="2" t="n">
        <v>178</v>
      </c>
      <c r="N638" s="3" t="n">
        <v>50000</v>
      </c>
      <c r="O638" s="2"/>
      <c r="P638" s="2" t="n">
        <v>10</v>
      </c>
      <c r="Q638" s="3" t="n">
        <v>234</v>
      </c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 t="n">
        <v>2</v>
      </c>
      <c r="AD638" s="2" t="n">
        <v>0.8</v>
      </c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4" t="s">
        <v>2239</v>
      </c>
    </row>
    <row r="639" customFormat="false" ht="15" hidden="false" customHeight="false" outlineLevel="0" collapsed="false">
      <c r="A639" s="2" t="n">
        <v>1530723</v>
      </c>
      <c r="B639" s="2" t="s">
        <v>2240</v>
      </c>
      <c r="C639" s="2" t="s">
        <v>2164</v>
      </c>
      <c r="D639" s="2" t="s">
        <v>58</v>
      </c>
      <c r="E639" s="2" t="s">
        <v>59</v>
      </c>
      <c r="F639" s="2" t="s">
        <v>102</v>
      </c>
      <c r="G639" s="2"/>
      <c r="H639" s="2"/>
      <c r="I639" s="2" t="n">
        <v>23</v>
      </c>
      <c r="J639" s="2" t="n">
        <v>18</v>
      </c>
      <c r="K639" s="2" t="s">
        <v>2241</v>
      </c>
      <c r="L639" s="2" t="s">
        <v>67</v>
      </c>
      <c r="M639" s="2" t="n">
        <v>185</v>
      </c>
      <c r="N639" s="3"/>
      <c r="O639" s="2"/>
      <c r="P639" s="2"/>
      <c r="Q639" s="3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4" t="s">
        <v>2242</v>
      </c>
    </row>
    <row r="640" customFormat="false" ht="15" hidden="false" customHeight="false" outlineLevel="0" collapsed="false">
      <c r="A640" s="2" t="n">
        <v>1975687</v>
      </c>
      <c r="B640" s="2" t="s">
        <v>2243</v>
      </c>
      <c r="C640" s="2" t="s">
        <v>2164</v>
      </c>
      <c r="D640" s="2" t="s">
        <v>58</v>
      </c>
      <c r="E640" s="2" t="s">
        <v>59</v>
      </c>
      <c r="F640" s="2" t="s">
        <v>102</v>
      </c>
      <c r="G640" s="2"/>
      <c r="H640" s="2"/>
      <c r="I640" s="2" t="n">
        <v>28</v>
      </c>
      <c r="J640" s="2" t="n">
        <v>17</v>
      </c>
      <c r="K640" s="2" t="s">
        <v>310</v>
      </c>
      <c r="L640" s="2" t="s">
        <v>67</v>
      </c>
      <c r="M640" s="2" t="n">
        <v>175</v>
      </c>
      <c r="N640" s="3"/>
      <c r="O640" s="2"/>
      <c r="P640" s="2"/>
      <c r="Q640" s="3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4" t="s">
        <v>2244</v>
      </c>
    </row>
    <row r="641" customFormat="false" ht="15" hidden="false" customHeight="false" outlineLevel="0" collapsed="false">
      <c r="A641" s="2" t="n">
        <v>1075184</v>
      </c>
      <c r="B641" s="2" t="s">
        <v>2245</v>
      </c>
      <c r="C641" s="2" t="s">
        <v>2164</v>
      </c>
      <c r="D641" s="2" t="s">
        <v>58</v>
      </c>
      <c r="E641" s="2" t="s">
        <v>59</v>
      </c>
      <c r="F641" s="2" t="s">
        <v>137</v>
      </c>
      <c r="G641" s="2" t="s">
        <v>147</v>
      </c>
      <c r="H641" s="2" t="s">
        <v>147</v>
      </c>
      <c r="I641" s="2" t="n">
        <v>16</v>
      </c>
      <c r="J641" s="2" t="n">
        <v>25</v>
      </c>
      <c r="K641" s="2" t="s">
        <v>1442</v>
      </c>
      <c r="L641" s="2" t="s">
        <v>1468</v>
      </c>
      <c r="M641" s="2" t="n">
        <v>191</v>
      </c>
      <c r="N641" s="3" t="n">
        <v>92160</v>
      </c>
      <c r="O641" s="2"/>
      <c r="P641" s="2" t="n">
        <v>26</v>
      </c>
      <c r="Q641" s="3" t="n">
        <v>2281</v>
      </c>
      <c r="R641" s="2" t="n">
        <v>6.87</v>
      </c>
      <c r="S641" s="2" t="n">
        <v>2</v>
      </c>
      <c r="T641" s="2" t="n">
        <v>7</v>
      </c>
      <c r="U641" s="2" t="n">
        <v>0</v>
      </c>
      <c r="V641" s="2" t="n">
        <v>5</v>
      </c>
      <c r="W641" s="2"/>
      <c r="X641" s="2" t="n">
        <v>0.28</v>
      </c>
      <c r="Y641" s="2" t="n">
        <v>2.2</v>
      </c>
      <c r="Z641" s="2" t="n">
        <v>0.9</v>
      </c>
      <c r="AA641" s="2" t="n">
        <v>12.3</v>
      </c>
      <c r="AB641" s="2" t="n">
        <v>13</v>
      </c>
      <c r="AC641" s="2" t="n">
        <v>20</v>
      </c>
      <c r="AD641" s="2" t="n">
        <v>0.8</v>
      </c>
      <c r="AE641" s="2" t="n">
        <v>5</v>
      </c>
      <c r="AF641" s="2" t="n">
        <v>13.5</v>
      </c>
      <c r="AG641" s="2" t="n">
        <v>65.1</v>
      </c>
      <c r="AH641" s="2" t="n">
        <v>0.4</v>
      </c>
      <c r="AI641" s="2" t="n">
        <v>50</v>
      </c>
      <c r="AJ641" s="2" t="n">
        <v>0.4</v>
      </c>
      <c r="AK641" s="2" t="n">
        <v>73.3</v>
      </c>
      <c r="AL641" s="2" t="n">
        <v>1</v>
      </c>
      <c r="AM641" s="2" t="n">
        <v>2.5</v>
      </c>
      <c r="AN641" s="2" t="n">
        <v>1.9</v>
      </c>
      <c r="AO641" s="2" t="n">
        <v>0.4</v>
      </c>
      <c r="AP641" s="2" t="n">
        <v>0.2</v>
      </c>
      <c r="AQ641" s="2" t="n">
        <v>1.1</v>
      </c>
      <c r="AR641" s="2" t="n">
        <v>0.3</v>
      </c>
      <c r="AS641" s="2" t="n">
        <v>1.4</v>
      </c>
      <c r="AT641" s="2" t="n">
        <v>0.2</v>
      </c>
      <c r="AU641" s="2" t="n">
        <v>1</v>
      </c>
      <c r="AV641" s="2" t="n">
        <v>1.9</v>
      </c>
      <c r="AW641" s="2" t="n">
        <v>6</v>
      </c>
      <c r="AX641" s="2"/>
      <c r="AY641" s="2"/>
      <c r="AZ641" s="2"/>
      <c r="BA641" s="2"/>
      <c r="BB641" s="2"/>
      <c r="BC641" s="2"/>
      <c r="BD641" s="4" t="s">
        <v>2246</v>
      </c>
    </row>
    <row r="642" customFormat="false" ht="15" hidden="false" customHeight="false" outlineLevel="0" collapsed="false">
      <c r="A642" s="2" t="n">
        <v>614458</v>
      </c>
      <c r="B642" s="2" t="s">
        <v>2247</v>
      </c>
      <c r="C642" s="2" t="s">
        <v>2164</v>
      </c>
      <c r="D642" s="2" t="s">
        <v>58</v>
      </c>
      <c r="E642" s="2" t="s">
        <v>59</v>
      </c>
      <c r="F642" s="2" t="s">
        <v>137</v>
      </c>
      <c r="G642" s="2" t="s">
        <v>138</v>
      </c>
      <c r="H642" s="2" t="s">
        <v>2248</v>
      </c>
      <c r="I642" s="2" t="n">
        <v>10</v>
      </c>
      <c r="J642" s="2" t="n">
        <v>32</v>
      </c>
      <c r="K642" s="2" t="s">
        <v>2249</v>
      </c>
      <c r="L642" s="2" t="s">
        <v>784</v>
      </c>
      <c r="M642" s="2" t="n">
        <v>178</v>
      </c>
      <c r="N642" s="3" t="n">
        <v>50000</v>
      </c>
      <c r="O642" s="2"/>
      <c r="P642" s="2" t="n">
        <v>25</v>
      </c>
      <c r="Q642" s="3" t="n">
        <v>1504</v>
      </c>
      <c r="R642" s="2" t="n">
        <v>6.83</v>
      </c>
      <c r="S642" s="2" t="n">
        <v>0</v>
      </c>
      <c r="T642" s="2" t="n">
        <v>10</v>
      </c>
      <c r="U642" s="2" t="n">
        <v>3</v>
      </c>
      <c r="V642" s="2" t="n">
        <v>1</v>
      </c>
      <c r="W642" s="2"/>
      <c r="X642" s="2" t="n">
        <v>0.6</v>
      </c>
      <c r="Y642" s="2" t="n">
        <v>2</v>
      </c>
      <c r="Z642" s="2" t="n">
        <v>1</v>
      </c>
      <c r="AA642" s="2" t="n">
        <v>29.4</v>
      </c>
      <c r="AB642" s="2" t="n">
        <v>3</v>
      </c>
      <c r="AC642" s="2" t="n">
        <v>20</v>
      </c>
      <c r="AD642" s="2" t="n">
        <v>1.2</v>
      </c>
      <c r="AE642" s="2" t="n">
        <v>5</v>
      </c>
      <c r="AF642" s="2" t="n">
        <v>21.7</v>
      </c>
      <c r="AG642" s="2" t="n">
        <v>79</v>
      </c>
      <c r="AH642" s="2" t="n">
        <v>1.1</v>
      </c>
      <c r="AI642" s="2" t="n">
        <v>41.3</v>
      </c>
      <c r="AJ642" s="2" t="n">
        <v>0.8</v>
      </c>
      <c r="AK642" s="2" t="n">
        <v>36.8</v>
      </c>
      <c r="AL642" s="2"/>
      <c r="AM642" s="2"/>
      <c r="AN642" s="2" t="n">
        <v>1.8</v>
      </c>
      <c r="AO642" s="2" t="n">
        <v>0.6</v>
      </c>
      <c r="AP642" s="2" t="n">
        <v>0.7</v>
      </c>
      <c r="AQ642" s="2" t="n">
        <v>0.5</v>
      </c>
      <c r="AR642" s="2"/>
      <c r="AS642" s="2" t="n">
        <v>3.4</v>
      </c>
      <c r="AT642" s="2" t="n">
        <v>0.4</v>
      </c>
      <c r="AU642" s="2" t="n">
        <v>1.9</v>
      </c>
      <c r="AV642" s="2" t="n">
        <v>1</v>
      </c>
      <c r="AW642" s="2" t="n">
        <v>1</v>
      </c>
      <c r="AX642" s="2"/>
      <c r="AY642" s="2"/>
      <c r="AZ642" s="2"/>
      <c r="BA642" s="2"/>
      <c r="BB642" s="2"/>
      <c r="BC642" s="2"/>
      <c r="BD642" s="4" t="s">
        <v>2250</v>
      </c>
    </row>
    <row r="643" customFormat="false" ht="15" hidden="false" customHeight="false" outlineLevel="0" collapsed="false">
      <c r="A643" s="2" t="n">
        <v>1727104</v>
      </c>
      <c r="B643" s="2" t="s">
        <v>2251</v>
      </c>
      <c r="C643" s="2" t="s">
        <v>2164</v>
      </c>
      <c r="D643" s="2" t="s">
        <v>58</v>
      </c>
      <c r="E643" s="2" t="s">
        <v>59</v>
      </c>
      <c r="F643" s="2" t="s">
        <v>137</v>
      </c>
      <c r="G643" s="2" t="s">
        <v>147</v>
      </c>
      <c r="H643" s="2" t="s">
        <v>2252</v>
      </c>
      <c r="I643" s="2" t="n">
        <v>11</v>
      </c>
      <c r="J643" s="2" t="n">
        <v>24</v>
      </c>
      <c r="K643" s="2" t="s">
        <v>2253</v>
      </c>
      <c r="L643" s="2" t="s">
        <v>499</v>
      </c>
      <c r="M643" s="2" t="n">
        <v>185</v>
      </c>
      <c r="N643" s="3" t="n">
        <v>65183</v>
      </c>
      <c r="O643" s="2"/>
      <c r="P643" s="2" t="n">
        <v>20</v>
      </c>
      <c r="Q643" s="3" t="n">
        <v>1017</v>
      </c>
      <c r="R643" s="2" t="n">
        <v>6.48</v>
      </c>
      <c r="S643" s="2" t="n">
        <v>0</v>
      </c>
      <c r="T643" s="2" t="n">
        <v>3</v>
      </c>
      <c r="U643" s="2" t="n">
        <v>0</v>
      </c>
      <c r="V643" s="2" t="n">
        <v>1</v>
      </c>
      <c r="W643" s="2"/>
      <c r="X643" s="2" t="n">
        <v>0.27</v>
      </c>
      <c r="Y643" s="2" t="n">
        <v>1.8</v>
      </c>
      <c r="Z643" s="2" t="n">
        <v>0.6</v>
      </c>
      <c r="AA643" s="2" t="n">
        <v>15</v>
      </c>
      <c r="AB643" s="2" t="n">
        <v>4</v>
      </c>
      <c r="AC643" s="2" t="n">
        <v>9</v>
      </c>
      <c r="AD643" s="2" t="n">
        <v>0.8</v>
      </c>
      <c r="AE643" s="2" t="n">
        <v>3</v>
      </c>
      <c r="AF643" s="2" t="n">
        <v>16.6</v>
      </c>
      <c r="AG643" s="2" t="n">
        <v>70.9</v>
      </c>
      <c r="AH643" s="2" t="n">
        <v>0.9</v>
      </c>
      <c r="AI643" s="2" t="n">
        <v>43.5</v>
      </c>
      <c r="AJ643" s="2" t="n">
        <v>1.2</v>
      </c>
      <c r="AK643" s="2" t="n">
        <v>33.3</v>
      </c>
      <c r="AL643" s="2"/>
      <c r="AM643" s="2"/>
      <c r="AN643" s="2" t="n">
        <v>2</v>
      </c>
      <c r="AO643" s="2" t="n">
        <v>0.9</v>
      </c>
      <c r="AP643" s="2" t="n">
        <v>0.4</v>
      </c>
      <c r="AQ643" s="2" t="n">
        <v>0.6</v>
      </c>
      <c r="AR643" s="2" t="n">
        <v>0.1</v>
      </c>
      <c r="AS643" s="2" t="n">
        <v>3.5</v>
      </c>
      <c r="AT643" s="2" t="n">
        <v>0.4</v>
      </c>
      <c r="AU643" s="2" t="n">
        <v>1.8</v>
      </c>
      <c r="AV643" s="2" t="n">
        <v>1.7</v>
      </c>
      <c r="AW643" s="2" t="n">
        <v>4</v>
      </c>
      <c r="AX643" s="2"/>
      <c r="AY643" s="2"/>
      <c r="AZ643" s="2"/>
      <c r="BA643" s="2"/>
      <c r="BB643" s="2"/>
      <c r="BC643" s="2"/>
      <c r="BD643" s="4" t="s">
        <v>2254</v>
      </c>
    </row>
    <row r="644" customFormat="false" ht="15" hidden="false" customHeight="false" outlineLevel="0" collapsed="false">
      <c r="A644" s="2" t="n">
        <v>1082254</v>
      </c>
      <c r="B644" s="2" t="s">
        <v>2255</v>
      </c>
      <c r="C644" s="2" t="s">
        <v>2164</v>
      </c>
      <c r="D644" s="2" t="s">
        <v>58</v>
      </c>
      <c r="E644" s="2" t="s">
        <v>59</v>
      </c>
      <c r="F644" s="2" t="s">
        <v>137</v>
      </c>
      <c r="G644" s="2" t="s">
        <v>133</v>
      </c>
      <c r="H644" s="2" t="s">
        <v>133</v>
      </c>
      <c r="I644" s="2" t="n">
        <v>26</v>
      </c>
      <c r="J644" s="2" t="n">
        <v>23</v>
      </c>
      <c r="K644" s="2" t="s">
        <v>2256</v>
      </c>
      <c r="L644" s="2" t="s">
        <v>67</v>
      </c>
      <c r="M644" s="2" t="n">
        <v>178</v>
      </c>
      <c r="N644" s="3" t="n">
        <v>59463</v>
      </c>
      <c r="O644" s="2"/>
      <c r="P644" s="2" t="n">
        <v>5</v>
      </c>
      <c r="Q644" s="3" t="n">
        <v>103</v>
      </c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 t="n">
        <v>1</v>
      </c>
      <c r="AX644" s="2"/>
      <c r="AY644" s="2"/>
      <c r="AZ644" s="2"/>
      <c r="BA644" s="2"/>
      <c r="BB644" s="2"/>
      <c r="BC644" s="2"/>
      <c r="BD644" s="4" t="s">
        <v>2257</v>
      </c>
    </row>
    <row r="645" customFormat="false" ht="15" hidden="false" customHeight="false" outlineLevel="0" collapsed="false">
      <c r="A645" s="2" t="n">
        <v>1727106</v>
      </c>
      <c r="B645" s="2" t="s">
        <v>2258</v>
      </c>
      <c r="C645" s="2" t="s">
        <v>2164</v>
      </c>
      <c r="D645" s="2" t="s">
        <v>58</v>
      </c>
      <c r="E645" s="2" t="s">
        <v>59</v>
      </c>
      <c r="F645" s="2" t="s">
        <v>137</v>
      </c>
      <c r="G645" s="2" t="s">
        <v>147</v>
      </c>
      <c r="H645" s="2" t="s">
        <v>147</v>
      </c>
      <c r="I645" s="2" t="n">
        <v>9</v>
      </c>
      <c r="J645" s="2" t="n">
        <v>24</v>
      </c>
      <c r="K645" s="2" t="s">
        <v>2259</v>
      </c>
      <c r="L645" s="2" t="s">
        <v>67</v>
      </c>
      <c r="M645" s="2" t="n">
        <v>183</v>
      </c>
      <c r="N645" s="3" t="n">
        <v>106518</v>
      </c>
      <c r="O645" s="2"/>
      <c r="P645" s="2" t="n">
        <v>8</v>
      </c>
      <c r="Q645" s="3" t="n">
        <v>77</v>
      </c>
      <c r="R645" s="2"/>
      <c r="S645" s="2"/>
      <c r="T645" s="2"/>
      <c r="U645" s="2"/>
      <c r="V645" s="2" t="n">
        <v>1</v>
      </c>
      <c r="W645" s="2"/>
      <c r="X645" s="2"/>
      <c r="Y645" s="2"/>
      <c r="Z645" s="2"/>
      <c r="AA645" s="2"/>
      <c r="AB645" s="2" t="n">
        <v>1</v>
      </c>
      <c r="AC645" s="2" t="n">
        <v>1</v>
      </c>
      <c r="AD645" s="2" t="n">
        <v>1.2</v>
      </c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4" t="s">
        <v>2260</v>
      </c>
    </row>
    <row r="646" customFormat="false" ht="15" hidden="false" customHeight="false" outlineLevel="0" collapsed="false">
      <c r="A646" s="2" t="n">
        <v>1352794</v>
      </c>
      <c r="B646" s="2" t="s">
        <v>2261</v>
      </c>
      <c r="C646" s="2" t="s">
        <v>2262</v>
      </c>
      <c r="D646" s="2" t="s">
        <v>58</v>
      </c>
      <c r="E646" s="2" t="s">
        <v>59</v>
      </c>
      <c r="F646" s="2" t="s">
        <v>60</v>
      </c>
      <c r="G646" s="2" t="s">
        <v>61</v>
      </c>
      <c r="H646" s="2" t="s">
        <v>61</v>
      </c>
      <c r="I646" s="2" t="n">
        <v>1</v>
      </c>
      <c r="J646" s="2" t="n">
        <v>27</v>
      </c>
      <c r="K646" s="2" t="s">
        <v>2263</v>
      </c>
      <c r="L646" s="2" t="s">
        <v>85</v>
      </c>
      <c r="M646" s="2" t="n">
        <v>185</v>
      </c>
      <c r="N646" s="3" t="n">
        <v>50701</v>
      </c>
      <c r="O646" s="2"/>
      <c r="P646" s="2" t="n">
        <v>22</v>
      </c>
      <c r="Q646" s="3" t="n">
        <v>1980</v>
      </c>
      <c r="R646" s="2" t="n">
        <v>7.02</v>
      </c>
      <c r="S646" s="2" t="n">
        <v>2</v>
      </c>
      <c r="T646" s="2"/>
      <c r="U646" s="2"/>
      <c r="V646" s="2"/>
      <c r="W646" s="2"/>
      <c r="X646" s="2"/>
      <c r="Y646" s="2"/>
      <c r="Z646" s="2"/>
      <c r="AA646" s="2"/>
      <c r="AB646" s="2"/>
      <c r="AC646" s="2" t="n">
        <v>1</v>
      </c>
      <c r="AD646" s="2" t="n">
        <v>0</v>
      </c>
      <c r="AE646" s="2"/>
      <c r="AF646" s="2" t="n">
        <v>15.8</v>
      </c>
      <c r="AG646" s="2" t="n">
        <v>70.5</v>
      </c>
      <c r="AH646" s="2"/>
      <c r="AI646" s="2"/>
      <c r="AJ646" s="2"/>
      <c r="AK646" s="2"/>
      <c r="AL646" s="2"/>
      <c r="AM646" s="2"/>
      <c r="AN646" s="2" t="n">
        <v>1</v>
      </c>
      <c r="AO646" s="2"/>
      <c r="AP646" s="2"/>
      <c r="AQ646" s="2" t="n">
        <v>1</v>
      </c>
      <c r="AR646" s="2"/>
      <c r="AS646" s="2" t="n">
        <v>8.7</v>
      </c>
      <c r="AT646" s="2"/>
      <c r="AU646" s="2"/>
      <c r="AV646" s="2" t="n">
        <v>0</v>
      </c>
      <c r="AW646" s="2" t="n">
        <v>4</v>
      </c>
      <c r="AX646" s="2"/>
      <c r="AY646" s="2" t="n">
        <v>1</v>
      </c>
      <c r="AZ646" s="2" t="n">
        <v>12</v>
      </c>
      <c r="BA646" s="2" t="n">
        <v>2.5</v>
      </c>
      <c r="BB646" s="2" t="n">
        <v>72.4</v>
      </c>
      <c r="BC646" s="2" t="n">
        <v>1</v>
      </c>
      <c r="BD646" s="4" t="s">
        <v>2264</v>
      </c>
    </row>
    <row r="647" customFormat="false" ht="15" hidden="false" customHeight="false" outlineLevel="0" collapsed="false">
      <c r="A647" s="2" t="n">
        <v>1082962</v>
      </c>
      <c r="B647" s="2" t="s">
        <v>2265</v>
      </c>
      <c r="C647" s="2" t="s">
        <v>2262</v>
      </c>
      <c r="D647" s="2" t="s">
        <v>58</v>
      </c>
      <c r="E647" s="2" t="s">
        <v>59</v>
      </c>
      <c r="F647" s="2" t="s">
        <v>60</v>
      </c>
      <c r="G647" s="2" t="s">
        <v>61</v>
      </c>
      <c r="H647" s="2" t="s">
        <v>61</v>
      </c>
      <c r="I647" s="2" t="n">
        <v>24</v>
      </c>
      <c r="J647" s="2" t="n">
        <v>32</v>
      </c>
      <c r="K647" s="2" t="s">
        <v>2266</v>
      </c>
      <c r="L647" s="2" t="s">
        <v>67</v>
      </c>
      <c r="M647" s="2" t="n">
        <v>187</v>
      </c>
      <c r="N647" s="3" t="n">
        <v>55064</v>
      </c>
      <c r="O647" s="2"/>
      <c r="P647" s="2" t="n">
        <v>4</v>
      </c>
      <c r="Q647" s="3" t="n">
        <v>360</v>
      </c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 t="n">
        <v>2</v>
      </c>
      <c r="BA647" s="2"/>
      <c r="BB647" s="2"/>
      <c r="BC647" s="2"/>
      <c r="BD647" s="4" t="s">
        <v>2267</v>
      </c>
    </row>
    <row r="648" customFormat="false" ht="15" hidden="false" customHeight="false" outlineLevel="0" collapsed="false">
      <c r="A648" s="2" t="n">
        <v>1338695</v>
      </c>
      <c r="B648" s="2" t="s">
        <v>2268</v>
      </c>
      <c r="C648" s="2" t="s">
        <v>2262</v>
      </c>
      <c r="D648" s="2" t="s">
        <v>58</v>
      </c>
      <c r="E648" s="2" t="s">
        <v>59</v>
      </c>
      <c r="F648" s="2" t="s">
        <v>70</v>
      </c>
      <c r="G648" s="2" t="s">
        <v>75</v>
      </c>
      <c r="H648" s="2" t="s">
        <v>75</v>
      </c>
      <c r="I648" s="2" t="n">
        <v>62</v>
      </c>
      <c r="J648" s="2" t="n">
        <v>27</v>
      </c>
      <c r="K648" s="2" t="s">
        <v>2269</v>
      </c>
      <c r="L648" s="2" t="s">
        <v>116</v>
      </c>
      <c r="M648" s="2" t="n">
        <v>180</v>
      </c>
      <c r="N648" s="3" t="n">
        <v>63845</v>
      </c>
      <c r="O648" s="2"/>
      <c r="P648" s="2" t="n">
        <v>26</v>
      </c>
      <c r="Q648" s="3" t="n">
        <v>2339</v>
      </c>
      <c r="R648" s="2" t="n">
        <v>7.04</v>
      </c>
      <c r="S648" s="2" t="n">
        <v>0</v>
      </c>
      <c r="T648" s="2"/>
      <c r="U648" s="2"/>
      <c r="V648" s="2"/>
      <c r="W648" s="2"/>
      <c r="X648" s="2"/>
      <c r="Y648" s="2" t="n">
        <v>0.2</v>
      </c>
      <c r="Z648" s="2" t="n">
        <v>0</v>
      </c>
      <c r="AA648" s="2" t="n">
        <v>0</v>
      </c>
      <c r="AB648" s="2" t="n">
        <v>1</v>
      </c>
      <c r="AC648" s="2" t="n">
        <v>1</v>
      </c>
      <c r="AD648" s="2" t="n">
        <v>0</v>
      </c>
      <c r="AE648" s="2"/>
      <c r="AF648" s="2" t="n">
        <v>49.1</v>
      </c>
      <c r="AG648" s="2" t="n">
        <v>88.1</v>
      </c>
      <c r="AH648" s="2" t="n">
        <v>3.1</v>
      </c>
      <c r="AI648" s="2" t="n">
        <v>48.5</v>
      </c>
      <c r="AJ648" s="2" t="n">
        <v>0.1</v>
      </c>
      <c r="AK648" s="2" t="n">
        <v>100</v>
      </c>
      <c r="AL648" s="2"/>
      <c r="AM648" s="2"/>
      <c r="AN648" s="2" t="n">
        <v>8.2</v>
      </c>
      <c r="AO648" s="2" t="n">
        <v>1.2</v>
      </c>
      <c r="AP648" s="2" t="n">
        <v>0.8</v>
      </c>
      <c r="AQ648" s="2" t="n">
        <v>5.8</v>
      </c>
      <c r="AR648" s="2" t="n">
        <v>0.4</v>
      </c>
      <c r="AS648" s="2" t="n">
        <v>3.3</v>
      </c>
      <c r="AT648" s="2"/>
      <c r="AU648" s="2"/>
      <c r="AV648" s="2" t="n">
        <v>0.5</v>
      </c>
      <c r="AW648" s="2" t="n">
        <v>6</v>
      </c>
      <c r="AX648" s="2"/>
      <c r="AY648" s="2"/>
      <c r="AZ648" s="2"/>
      <c r="BA648" s="2"/>
      <c r="BB648" s="2"/>
      <c r="BC648" s="2"/>
      <c r="BD648" s="4" t="s">
        <v>2270</v>
      </c>
    </row>
    <row r="649" customFormat="false" ht="15" hidden="false" customHeight="false" outlineLevel="0" collapsed="false">
      <c r="A649" s="2" t="n">
        <v>1338618</v>
      </c>
      <c r="B649" s="2" t="s">
        <v>2271</v>
      </c>
      <c r="C649" s="2" t="s">
        <v>2262</v>
      </c>
      <c r="D649" s="2" t="s">
        <v>58</v>
      </c>
      <c r="E649" s="2" t="s">
        <v>59</v>
      </c>
      <c r="F649" s="2" t="s">
        <v>70</v>
      </c>
      <c r="G649" s="2" t="s">
        <v>71</v>
      </c>
      <c r="H649" s="2" t="s">
        <v>268</v>
      </c>
      <c r="I649" s="2" t="n">
        <v>20</v>
      </c>
      <c r="J649" s="2" t="n">
        <v>26</v>
      </c>
      <c r="K649" s="2" t="s">
        <v>2272</v>
      </c>
      <c r="L649" s="2" t="s">
        <v>67</v>
      </c>
      <c r="M649" s="2" t="n">
        <v>173</v>
      </c>
      <c r="N649" s="3" t="n">
        <v>103338</v>
      </c>
      <c r="O649" s="2"/>
      <c r="P649" s="2" t="n">
        <v>26</v>
      </c>
      <c r="Q649" s="3" t="n">
        <v>2133</v>
      </c>
      <c r="R649" s="2" t="n">
        <v>7.17</v>
      </c>
      <c r="S649" s="2" t="n">
        <v>0</v>
      </c>
      <c r="T649" s="2"/>
      <c r="U649" s="2"/>
      <c r="V649" s="2" t="n">
        <v>8</v>
      </c>
      <c r="W649" s="2"/>
      <c r="X649" s="2"/>
      <c r="Y649" s="2" t="n">
        <v>0.7</v>
      </c>
      <c r="Z649" s="2" t="n">
        <v>0</v>
      </c>
      <c r="AA649" s="2" t="n">
        <v>0</v>
      </c>
      <c r="AB649" s="2"/>
      <c r="AC649" s="2" t="n">
        <v>40</v>
      </c>
      <c r="AD649" s="2" t="n">
        <v>1.7</v>
      </c>
      <c r="AE649" s="2" t="n">
        <v>6</v>
      </c>
      <c r="AF649" s="2" t="n">
        <v>29.7</v>
      </c>
      <c r="AG649" s="2" t="n">
        <v>76.6</v>
      </c>
      <c r="AH649" s="2" t="n">
        <v>1.8</v>
      </c>
      <c r="AI649" s="2" t="n">
        <v>41.7</v>
      </c>
      <c r="AJ649" s="2" t="n">
        <v>0.4</v>
      </c>
      <c r="AK649" s="2" t="n">
        <v>52.9</v>
      </c>
      <c r="AL649" s="2"/>
      <c r="AM649" s="2"/>
      <c r="AN649" s="2" t="n">
        <v>4.8</v>
      </c>
      <c r="AO649" s="2" t="n">
        <v>1.1</v>
      </c>
      <c r="AP649" s="2" t="n">
        <v>1</v>
      </c>
      <c r="AQ649" s="2" t="n">
        <v>2.7</v>
      </c>
      <c r="AR649" s="2" t="n">
        <v>0.1</v>
      </c>
      <c r="AS649" s="2" t="n">
        <v>3.3</v>
      </c>
      <c r="AT649" s="2" t="n">
        <v>0.1</v>
      </c>
      <c r="AU649" s="2" t="n">
        <v>1.5</v>
      </c>
      <c r="AV649" s="2" t="n">
        <v>1.1</v>
      </c>
      <c r="AW649" s="2" t="n">
        <v>6</v>
      </c>
      <c r="AX649" s="2"/>
      <c r="AY649" s="2"/>
      <c r="AZ649" s="2"/>
      <c r="BA649" s="2"/>
      <c r="BB649" s="2"/>
      <c r="BC649" s="2"/>
      <c r="BD649" s="4" t="s">
        <v>2273</v>
      </c>
    </row>
    <row r="650" customFormat="false" ht="15" hidden="false" customHeight="false" outlineLevel="0" collapsed="false">
      <c r="A650" s="2" t="n">
        <v>650320</v>
      </c>
      <c r="B650" s="2" t="s">
        <v>2274</v>
      </c>
      <c r="C650" s="2" t="s">
        <v>2262</v>
      </c>
      <c r="D650" s="2" t="s">
        <v>58</v>
      </c>
      <c r="E650" s="2" t="s">
        <v>59</v>
      </c>
      <c r="F650" s="2" t="s">
        <v>70</v>
      </c>
      <c r="G650" s="2" t="s">
        <v>92</v>
      </c>
      <c r="H650" s="2" t="s">
        <v>276</v>
      </c>
      <c r="I650" s="2" t="n">
        <v>26</v>
      </c>
      <c r="J650" s="2" t="n">
        <v>35</v>
      </c>
      <c r="K650" s="2" t="s">
        <v>2275</v>
      </c>
      <c r="L650" s="2" t="s">
        <v>67</v>
      </c>
      <c r="M650" s="2" t="n">
        <v>175</v>
      </c>
      <c r="N650" s="3" t="n">
        <v>50000</v>
      </c>
      <c r="O650" s="2"/>
      <c r="P650" s="2" t="n">
        <v>21</v>
      </c>
      <c r="Q650" s="3" t="n">
        <v>1484</v>
      </c>
      <c r="R650" s="2" t="n">
        <v>7</v>
      </c>
      <c r="S650" s="2" t="n">
        <v>1</v>
      </c>
      <c r="T650" s="2"/>
      <c r="U650" s="2"/>
      <c r="V650" s="2" t="n">
        <v>3</v>
      </c>
      <c r="W650" s="2"/>
      <c r="X650" s="2"/>
      <c r="Y650" s="2" t="n">
        <v>0.6</v>
      </c>
      <c r="Z650" s="2" t="n">
        <v>0.2</v>
      </c>
      <c r="AA650" s="2" t="n">
        <v>0</v>
      </c>
      <c r="AB650" s="2" t="n">
        <v>1</v>
      </c>
      <c r="AC650" s="2" t="n">
        <v>26</v>
      </c>
      <c r="AD650" s="2" t="n">
        <v>1.6</v>
      </c>
      <c r="AE650" s="2" t="n">
        <v>7</v>
      </c>
      <c r="AF650" s="2" t="n">
        <v>20</v>
      </c>
      <c r="AG650" s="2" t="n">
        <v>78</v>
      </c>
      <c r="AH650" s="2" t="n">
        <v>0.5</v>
      </c>
      <c r="AI650" s="2" t="n">
        <v>25.8</v>
      </c>
      <c r="AJ650" s="2" t="n">
        <v>0.8</v>
      </c>
      <c r="AK650" s="2" t="n">
        <v>50</v>
      </c>
      <c r="AL650" s="2"/>
      <c r="AM650" s="2"/>
      <c r="AN650" s="2" t="n">
        <v>3.6</v>
      </c>
      <c r="AO650" s="2" t="n">
        <v>1.4</v>
      </c>
      <c r="AP650" s="2" t="n">
        <v>0.8</v>
      </c>
      <c r="AQ650" s="2" t="n">
        <v>1.3</v>
      </c>
      <c r="AR650" s="2" t="n">
        <v>0.1</v>
      </c>
      <c r="AS650" s="2" t="n">
        <v>3.8</v>
      </c>
      <c r="AT650" s="2" t="n">
        <v>0.1</v>
      </c>
      <c r="AU650" s="2" t="n">
        <v>1.9</v>
      </c>
      <c r="AV650" s="2" t="n">
        <v>1</v>
      </c>
      <c r="AW650" s="2" t="n">
        <v>4</v>
      </c>
      <c r="AX650" s="2"/>
      <c r="AY650" s="2"/>
      <c r="AZ650" s="2"/>
      <c r="BA650" s="2"/>
      <c r="BB650" s="2"/>
      <c r="BC650" s="2"/>
      <c r="BD650" s="4" t="s">
        <v>2276</v>
      </c>
    </row>
    <row r="651" customFormat="false" ht="15" hidden="false" customHeight="false" outlineLevel="0" collapsed="false">
      <c r="A651" s="2" t="n">
        <v>1652661</v>
      </c>
      <c r="B651" s="2" t="s">
        <v>2277</v>
      </c>
      <c r="C651" s="2" t="s">
        <v>2262</v>
      </c>
      <c r="D651" s="2" t="s">
        <v>58</v>
      </c>
      <c r="E651" s="2" t="s">
        <v>59</v>
      </c>
      <c r="F651" s="2" t="s">
        <v>70</v>
      </c>
      <c r="G651" s="2" t="s">
        <v>75</v>
      </c>
      <c r="H651" s="2" t="s">
        <v>75</v>
      </c>
      <c r="I651" s="2" t="n">
        <v>3</v>
      </c>
      <c r="J651" s="2" t="n">
        <v>24</v>
      </c>
      <c r="K651" s="2" t="s">
        <v>2278</v>
      </c>
      <c r="L651" s="2" t="s">
        <v>67</v>
      </c>
      <c r="M651" s="2" t="n">
        <v>191</v>
      </c>
      <c r="N651" s="3" t="n">
        <v>152694</v>
      </c>
      <c r="O651" s="2"/>
      <c r="P651" s="2" t="n">
        <v>14</v>
      </c>
      <c r="Q651" s="3" t="n">
        <v>1127</v>
      </c>
      <c r="R651" s="2" t="n">
        <v>7.18</v>
      </c>
      <c r="S651" s="2" t="n">
        <v>0</v>
      </c>
      <c r="T651" s="2"/>
      <c r="U651" s="2"/>
      <c r="V651" s="2"/>
      <c r="W651" s="2"/>
      <c r="X651" s="2"/>
      <c r="Y651" s="2" t="n">
        <v>0.2</v>
      </c>
      <c r="Z651" s="2" t="n">
        <v>0.1</v>
      </c>
      <c r="AA651" s="2" t="n">
        <v>0</v>
      </c>
      <c r="AB651" s="2"/>
      <c r="AC651" s="2" t="n">
        <v>4</v>
      </c>
      <c r="AD651" s="2" t="n">
        <v>0.3</v>
      </c>
      <c r="AE651" s="2"/>
      <c r="AF651" s="2" t="n">
        <v>48.7</v>
      </c>
      <c r="AG651" s="2" t="n">
        <v>85.6</v>
      </c>
      <c r="AH651" s="2" t="n">
        <v>4.6</v>
      </c>
      <c r="AI651" s="2" t="n">
        <v>51.8</v>
      </c>
      <c r="AJ651" s="2" t="n">
        <v>0.1</v>
      </c>
      <c r="AK651" s="2" t="n">
        <v>50</v>
      </c>
      <c r="AL651" s="2"/>
      <c r="AM651" s="2"/>
      <c r="AN651" s="2" t="n">
        <v>7.8</v>
      </c>
      <c r="AO651" s="2" t="n">
        <v>1.2</v>
      </c>
      <c r="AP651" s="2" t="n">
        <v>1.2</v>
      </c>
      <c r="AQ651" s="2" t="n">
        <v>5</v>
      </c>
      <c r="AR651" s="2" t="n">
        <v>0.5</v>
      </c>
      <c r="AS651" s="2" t="n">
        <v>3.5</v>
      </c>
      <c r="AT651" s="2" t="n">
        <v>0.1</v>
      </c>
      <c r="AU651" s="2" t="n">
        <v>1.8</v>
      </c>
      <c r="AV651" s="2" t="n">
        <v>0.7</v>
      </c>
      <c r="AW651" s="2" t="n">
        <v>1</v>
      </c>
      <c r="AX651" s="2"/>
      <c r="AY651" s="2"/>
      <c r="AZ651" s="2"/>
      <c r="BA651" s="2"/>
      <c r="BB651" s="2"/>
      <c r="BC651" s="2"/>
      <c r="BD651" s="4" t="s">
        <v>2279</v>
      </c>
    </row>
    <row r="652" customFormat="false" ht="15" hidden="false" customHeight="false" outlineLevel="0" collapsed="false">
      <c r="A652" s="2" t="n">
        <v>1056524</v>
      </c>
      <c r="B652" s="2" t="s">
        <v>2280</v>
      </c>
      <c r="C652" s="2" t="s">
        <v>2262</v>
      </c>
      <c r="D652" s="2" t="s">
        <v>58</v>
      </c>
      <c r="E652" s="2" t="s">
        <v>59</v>
      </c>
      <c r="F652" s="2" t="s">
        <v>70</v>
      </c>
      <c r="G652" s="2" t="s">
        <v>75</v>
      </c>
      <c r="H652" s="2" t="s">
        <v>75</v>
      </c>
      <c r="I652" s="2" t="n">
        <v>27</v>
      </c>
      <c r="J652" s="2" t="n">
        <v>30</v>
      </c>
      <c r="K652" s="2" t="s">
        <v>2281</v>
      </c>
      <c r="L652" s="2" t="s">
        <v>110</v>
      </c>
      <c r="M652" s="2" t="n">
        <v>185</v>
      </c>
      <c r="N652" s="3" t="n">
        <v>50000</v>
      </c>
      <c r="O652" s="2"/>
      <c r="P652" s="2" t="n">
        <v>14</v>
      </c>
      <c r="Q652" s="3" t="n">
        <v>556</v>
      </c>
      <c r="R652" s="2" t="n">
        <v>6.62</v>
      </c>
      <c r="S652" s="2" t="n">
        <v>0</v>
      </c>
      <c r="T652" s="2" t="n">
        <v>1</v>
      </c>
      <c r="U652" s="2" t="n">
        <v>0</v>
      </c>
      <c r="V652" s="2"/>
      <c r="W652" s="2"/>
      <c r="X652" s="2" t="n">
        <v>0.16</v>
      </c>
      <c r="Y652" s="2" t="n">
        <v>1</v>
      </c>
      <c r="Z652" s="2" t="n">
        <v>0.3</v>
      </c>
      <c r="AA652" s="2" t="n">
        <v>16.7</v>
      </c>
      <c r="AB652" s="2"/>
      <c r="AC652" s="2" t="n">
        <v>4</v>
      </c>
      <c r="AD652" s="2" t="n">
        <v>0.6</v>
      </c>
      <c r="AE652" s="2"/>
      <c r="AF652" s="2" t="n">
        <v>35.3</v>
      </c>
      <c r="AG652" s="2" t="n">
        <v>75.4</v>
      </c>
      <c r="AH652" s="2" t="n">
        <v>4.2</v>
      </c>
      <c r="AI652" s="2" t="n">
        <v>41.3</v>
      </c>
      <c r="AJ652" s="2" t="n">
        <v>0.3</v>
      </c>
      <c r="AK652" s="2" t="n">
        <v>50</v>
      </c>
      <c r="AL652" s="2"/>
      <c r="AM652" s="2"/>
      <c r="AN652" s="2" t="n">
        <v>8.3</v>
      </c>
      <c r="AO652" s="2" t="n">
        <v>2.6</v>
      </c>
      <c r="AP652" s="2" t="n">
        <v>1.1</v>
      </c>
      <c r="AQ652" s="2" t="n">
        <v>3.9</v>
      </c>
      <c r="AR652" s="2" t="n">
        <v>0.6</v>
      </c>
      <c r="AS652" s="2" t="n">
        <v>4.2</v>
      </c>
      <c r="AT652" s="2" t="n">
        <v>0.2</v>
      </c>
      <c r="AU652" s="2" t="n">
        <v>1.8</v>
      </c>
      <c r="AV652" s="2" t="n">
        <v>1.9</v>
      </c>
      <c r="AW652" s="2" t="n">
        <v>2</v>
      </c>
      <c r="AX652" s="2"/>
      <c r="AY652" s="2"/>
      <c r="AZ652" s="2"/>
      <c r="BA652" s="2"/>
      <c r="BB652" s="2"/>
      <c r="BC652" s="2"/>
      <c r="BD652" s="4" t="s">
        <v>2282</v>
      </c>
    </row>
    <row r="653" customFormat="false" ht="15" hidden="false" customHeight="false" outlineLevel="0" collapsed="false">
      <c r="A653" s="2" t="n">
        <v>1246605</v>
      </c>
      <c r="B653" s="2" t="s">
        <v>2283</v>
      </c>
      <c r="C653" s="2" t="s">
        <v>2262</v>
      </c>
      <c r="D653" s="2" t="s">
        <v>58</v>
      </c>
      <c r="E653" s="2" t="s">
        <v>59</v>
      </c>
      <c r="F653" s="2" t="s">
        <v>70</v>
      </c>
      <c r="G653" s="2" t="s">
        <v>75</v>
      </c>
      <c r="H653" s="2" t="s">
        <v>75</v>
      </c>
      <c r="I653" s="2" t="n">
        <v>21</v>
      </c>
      <c r="J653" s="2" t="n">
        <v>26</v>
      </c>
      <c r="K653" s="2" t="s">
        <v>2284</v>
      </c>
      <c r="L653" s="2" t="s">
        <v>67</v>
      </c>
      <c r="M653" s="2" t="n">
        <v>183</v>
      </c>
      <c r="N653" s="3" t="n">
        <v>137703</v>
      </c>
      <c r="O653" s="2"/>
      <c r="P653" s="2" t="n">
        <v>6</v>
      </c>
      <c r="Q653" s="3" t="n">
        <v>505</v>
      </c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 t="n">
        <v>2</v>
      </c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 t="n">
        <v>1</v>
      </c>
      <c r="AX653" s="2"/>
      <c r="AY653" s="2"/>
      <c r="AZ653" s="2"/>
      <c r="BA653" s="2"/>
      <c r="BB653" s="2"/>
      <c r="BC653" s="2"/>
      <c r="BD653" s="4" t="s">
        <v>2285</v>
      </c>
    </row>
    <row r="654" customFormat="false" ht="15" hidden="false" customHeight="false" outlineLevel="0" collapsed="false">
      <c r="A654" s="2" t="n">
        <v>1338617</v>
      </c>
      <c r="B654" s="2" t="s">
        <v>2286</v>
      </c>
      <c r="C654" s="2" t="s">
        <v>2262</v>
      </c>
      <c r="D654" s="2" t="s">
        <v>58</v>
      </c>
      <c r="E654" s="2" t="s">
        <v>59</v>
      </c>
      <c r="F654" s="2" t="s">
        <v>70</v>
      </c>
      <c r="G654" s="2" t="s">
        <v>75</v>
      </c>
      <c r="H654" s="2" t="s">
        <v>75</v>
      </c>
      <c r="I654" s="2" t="n">
        <v>5</v>
      </c>
      <c r="J654" s="2" t="n">
        <v>28</v>
      </c>
      <c r="K654" s="2" t="s">
        <v>2287</v>
      </c>
      <c r="L654" s="2" t="s">
        <v>243</v>
      </c>
      <c r="M654" s="2" t="n">
        <v>188</v>
      </c>
      <c r="N654" s="3" t="n">
        <v>50000</v>
      </c>
      <c r="O654" s="2"/>
      <c r="P654" s="2" t="n">
        <v>8</v>
      </c>
      <c r="Q654" s="3" t="n">
        <v>387</v>
      </c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 t="n">
        <v>1</v>
      </c>
      <c r="AC654" s="2" t="n">
        <v>3</v>
      </c>
      <c r="AD654" s="2" t="n">
        <v>0.7</v>
      </c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4" t="s">
        <v>2288</v>
      </c>
    </row>
    <row r="655" customFormat="false" ht="15" hidden="false" customHeight="false" outlineLevel="0" collapsed="false">
      <c r="A655" s="2" t="n">
        <v>1057835</v>
      </c>
      <c r="B655" s="2" t="s">
        <v>2289</v>
      </c>
      <c r="C655" s="2" t="s">
        <v>2262</v>
      </c>
      <c r="D655" s="2" t="s">
        <v>58</v>
      </c>
      <c r="E655" s="2" t="s">
        <v>59</v>
      </c>
      <c r="F655" s="2" t="s">
        <v>70</v>
      </c>
      <c r="G655" s="2" t="s">
        <v>75</v>
      </c>
      <c r="H655" s="2" t="s">
        <v>75</v>
      </c>
      <c r="I655" s="2" t="n">
        <v>55</v>
      </c>
      <c r="J655" s="2" t="n">
        <v>30</v>
      </c>
      <c r="K655" s="2" t="s">
        <v>2290</v>
      </c>
      <c r="L655" s="2" t="s">
        <v>861</v>
      </c>
      <c r="M655" s="2" t="n">
        <v>193</v>
      </c>
      <c r="N655" s="3" t="n">
        <v>50000</v>
      </c>
      <c r="O655" s="2"/>
      <c r="P655" s="2" t="n">
        <v>3</v>
      </c>
      <c r="Q655" s="3" t="n">
        <v>153</v>
      </c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 t="n">
        <v>1</v>
      </c>
      <c r="AC655" s="2" t="n">
        <v>1</v>
      </c>
      <c r="AD655" s="2" t="n">
        <v>0.6</v>
      </c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 t="n">
        <v>1</v>
      </c>
      <c r="AX655" s="2"/>
      <c r="AY655" s="2"/>
      <c r="AZ655" s="2"/>
      <c r="BA655" s="2"/>
      <c r="BB655" s="2"/>
      <c r="BC655" s="2"/>
      <c r="BD655" s="4" t="s">
        <v>2291</v>
      </c>
    </row>
    <row r="656" customFormat="false" ht="15" hidden="false" customHeight="false" outlineLevel="0" collapsed="false">
      <c r="A656" s="2" t="n">
        <v>960597</v>
      </c>
      <c r="B656" s="2" t="s">
        <v>2292</v>
      </c>
      <c r="C656" s="2" t="s">
        <v>2262</v>
      </c>
      <c r="D656" s="2" t="s">
        <v>58</v>
      </c>
      <c r="E656" s="2" t="s">
        <v>59</v>
      </c>
      <c r="F656" s="2" t="s">
        <v>70</v>
      </c>
      <c r="G656" s="2" t="s">
        <v>71</v>
      </c>
      <c r="H656" s="2" t="s">
        <v>1015</v>
      </c>
      <c r="I656" s="2" t="n">
        <v>33</v>
      </c>
      <c r="J656" s="2" t="n">
        <v>26</v>
      </c>
      <c r="K656" s="2" t="s">
        <v>2293</v>
      </c>
      <c r="L656" s="2" t="s">
        <v>67</v>
      </c>
      <c r="M656" s="2" t="n">
        <v>178</v>
      </c>
      <c r="N656" s="3" t="n">
        <v>50000</v>
      </c>
      <c r="O656" s="2"/>
      <c r="P656" s="2" t="n">
        <v>5</v>
      </c>
      <c r="Q656" s="3" t="n">
        <v>129</v>
      </c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 t="n">
        <v>2</v>
      </c>
      <c r="AD656" s="2" t="n">
        <v>1.4</v>
      </c>
      <c r="AE656" s="2" t="n">
        <v>1</v>
      </c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4" t="s">
        <v>2294</v>
      </c>
    </row>
    <row r="657" customFormat="false" ht="15" hidden="false" customHeight="false" outlineLevel="0" collapsed="false">
      <c r="A657" s="2" t="n">
        <v>1744398</v>
      </c>
      <c r="B657" s="2" t="s">
        <v>2295</v>
      </c>
      <c r="C657" s="2" t="s">
        <v>2262</v>
      </c>
      <c r="D657" s="2" t="s">
        <v>58</v>
      </c>
      <c r="E657" s="2" t="s">
        <v>59</v>
      </c>
      <c r="F657" s="2" t="s">
        <v>70</v>
      </c>
      <c r="G657" s="2" t="s">
        <v>92</v>
      </c>
      <c r="H657" s="2" t="s">
        <v>92</v>
      </c>
      <c r="I657" s="2" t="n">
        <v>36</v>
      </c>
      <c r="J657" s="2" t="n">
        <v>19</v>
      </c>
      <c r="K657" s="2" t="s">
        <v>1964</v>
      </c>
      <c r="L657" s="2" t="s">
        <v>67</v>
      </c>
      <c r="M657" s="2" t="n">
        <v>175</v>
      </c>
      <c r="N657" s="3"/>
      <c r="O657" s="2"/>
      <c r="P657" s="2" t="n">
        <v>2</v>
      </c>
      <c r="Q657" s="3" t="n">
        <v>10</v>
      </c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4" t="s">
        <v>2296</v>
      </c>
    </row>
    <row r="658" customFormat="false" ht="15" hidden="false" customHeight="false" outlineLevel="0" collapsed="false">
      <c r="A658" s="2" t="n">
        <v>1921658</v>
      </c>
      <c r="B658" s="2" t="s">
        <v>2297</v>
      </c>
      <c r="C658" s="2" t="s">
        <v>2262</v>
      </c>
      <c r="D658" s="2" t="s">
        <v>58</v>
      </c>
      <c r="E658" s="2" t="s">
        <v>59</v>
      </c>
      <c r="F658" s="2" t="s">
        <v>70</v>
      </c>
      <c r="G658" s="2"/>
      <c r="H658" s="2"/>
      <c r="I658" s="2" t="n">
        <v>37</v>
      </c>
      <c r="J658" s="2" t="n">
        <v>19</v>
      </c>
      <c r="K658" s="2" t="s">
        <v>2298</v>
      </c>
      <c r="L658" s="2" t="s">
        <v>67</v>
      </c>
      <c r="M658" s="2" t="n">
        <v>178</v>
      </c>
      <c r="N658" s="3"/>
      <c r="O658" s="2"/>
      <c r="P658" s="2"/>
      <c r="Q658" s="3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4" t="s">
        <v>2299</v>
      </c>
    </row>
    <row r="659" customFormat="false" ht="15" hidden="false" customHeight="false" outlineLevel="0" collapsed="false">
      <c r="A659" s="2" t="n">
        <v>1346878</v>
      </c>
      <c r="B659" s="2" t="s">
        <v>2300</v>
      </c>
      <c r="C659" s="2" t="s">
        <v>2262</v>
      </c>
      <c r="D659" s="2" t="s">
        <v>58</v>
      </c>
      <c r="E659" s="2" t="s">
        <v>59</v>
      </c>
      <c r="F659" s="2" t="s">
        <v>102</v>
      </c>
      <c r="G659" s="2" t="s">
        <v>103</v>
      </c>
      <c r="H659" s="2" t="s">
        <v>2301</v>
      </c>
      <c r="I659" s="2" t="n">
        <v>23</v>
      </c>
      <c r="J659" s="2" t="n">
        <v>26</v>
      </c>
      <c r="K659" s="2" t="s">
        <v>1471</v>
      </c>
      <c r="L659" s="2" t="s">
        <v>1000</v>
      </c>
      <c r="M659" s="2" t="n">
        <v>191</v>
      </c>
      <c r="N659" s="3" t="n">
        <v>105229</v>
      </c>
      <c r="O659" s="2"/>
      <c r="P659" s="2" t="n">
        <v>26</v>
      </c>
      <c r="Q659" s="3" t="n">
        <v>2084</v>
      </c>
      <c r="R659" s="2" t="n">
        <v>7.08</v>
      </c>
      <c r="S659" s="2" t="n">
        <v>3</v>
      </c>
      <c r="T659" s="2" t="n">
        <v>1</v>
      </c>
      <c r="U659" s="2" t="n">
        <v>0</v>
      </c>
      <c r="V659" s="2" t="n">
        <v>1</v>
      </c>
      <c r="W659" s="2"/>
      <c r="X659" s="2" t="n">
        <v>0.04</v>
      </c>
      <c r="Y659" s="2" t="n">
        <v>1.3</v>
      </c>
      <c r="Z659" s="2" t="n">
        <v>0.3</v>
      </c>
      <c r="AA659" s="2" t="n">
        <v>3.3</v>
      </c>
      <c r="AB659" s="2" t="n">
        <v>1</v>
      </c>
      <c r="AC659" s="2" t="n">
        <v>15</v>
      </c>
      <c r="AD659" s="2" t="n">
        <v>0.6</v>
      </c>
      <c r="AE659" s="2" t="n">
        <v>3</v>
      </c>
      <c r="AF659" s="2" t="n">
        <v>45.7</v>
      </c>
      <c r="AG659" s="2" t="n">
        <v>86.1</v>
      </c>
      <c r="AH659" s="2" t="n">
        <v>2.1</v>
      </c>
      <c r="AI659" s="2" t="n">
        <v>46.7</v>
      </c>
      <c r="AJ659" s="2" t="n">
        <v>0.1</v>
      </c>
      <c r="AK659" s="2" t="n">
        <v>60</v>
      </c>
      <c r="AL659" s="2"/>
      <c r="AM659" s="2"/>
      <c r="AN659" s="2" t="n">
        <v>5.4</v>
      </c>
      <c r="AO659" s="2" t="n">
        <v>1.8</v>
      </c>
      <c r="AP659" s="2" t="n">
        <v>1.1</v>
      </c>
      <c r="AQ659" s="2" t="n">
        <v>2.2</v>
      </c>
      <c r="AR659" s="2" t="n">
        <v>0.3</v>
      </c>
      <c r="AS659" s="2" t="n">
        <v>4.9</v>
      </c>
      <c r="AT659" s="2" t="n">
        <v>0.3</v>
      </c>
      <c r="AU659" s="2" t="n">
        <v>2.9</v>
      </c>
      <c r="AV659" s="2" t="n">
        <v>2.6</v>
      </c>
      <c r="AW659" s="2" t="n">
        <v>8</v>
      </c>
      <c r="AX659" s="2"/>
      <c r="AY659" s="2"/>
      <c r="AZ659" s="2"/>
      <c r="BA659" s="2"/>
      <c r="BB659" s="2"/>
      <c r="BC659" s="2"/>
      <c r="BD659" s="4" t="s">
        <v>2302</v>
      </c>
    </row>
    <row r="660" customFormat="false" ht="15" hidden="false" customHeight="false" outlineLevel="0" collapsed="false">
      <c r="A660" s="2" t="n">
        <v>1463253</v>
      </c>
      <c r="B660" s="2" t="s">
        <v>2303</v>
      </c>
      <c r="C660" s="2" t="s">
        <v>2262</v>
      </c>
      <c r="D660" s="2" t="s">
        <v>58</v>
      </c>
      <c r="E660" s="2" t="s">
        <v>59</v>
      </c>
      <c r="F660" s="2" t="s">
        <v>102</v>
      </c>
      <c r="G660" s="2" t="s">
        <v>103</v>
      </c>
      <c r="H660" s="2" t="s">
        <v>2304</v>
      </c>
      <c r="I660" s="2" t="n">
        <v>30</v>
      </c>
      <c r="J660" s="2" t="n">
        <v>26</v>
      </c>
      <c r="K660" s="2" t="s">
        <v>2305</v>
      </c>
      <c r="L660" s="2" t="s">
        <v>67</v>
      </c>
      <c r="M660" s="2" t="n">
        <v>170</v>
      </c>
      <c r="N660" s="3" t="n">
        <v>102881</v>
      </c>
      <c r="O660" s="2"/>
      <c r="P660" s="2" t="n">
        <v>21</v>
      </c>
      <c r="Q660" s="3" t="n">
        <v>1795</v>
      </c>
      <c r="R660" s="2" t="n">
        <v>7.38</v>
      </c>
      <c r="S660" s="2" t="n">
        <v>2</v>
      </c>
      <c r="T660" s="2" t="n">
        <v>2</v>
      </c>
      <c r="U660" s="2" t="n">
        <v>0</v>
      </c>
      <c r="V660" s="2" t="n">
        <v>2</v>
      </c>
      <c r="W660" s="2"/>
      <c r="X660" s="2" t="n">
        <v>0.1</v>
      </c>
      <c r="Y660" s="2" t="n">
        <v>0.9</v>
      </c>
      <c r="Z660" s="2" t="n">
        <v>0.3</v>
      </c>
      <c r="AA660" s="2" t="n">
        <v>11.1</v>
      </c>
      <c r="AB660" s="2" t="n">
        <v>1</v>
      </c>
      <c r="AC660" s="2" t="n">
        <v>27</v>
      </c>
      <c r="AD660" s="2" t="n">
        <v>1.4</v>
      </c>
      <c r="AE660" s="2" t="n">
        <v>5</v>
      </c>
      <c r="AF660" s="2" t="n">
        <v>34.1</v>
      </c>
      <c r="AG660" s="2" t="n">
        <v>83.8</v>
      </c>
      <c r="AH660" s="2" t="n">
        <v>1.8</v>
      </c>
      <c r="AI660" s="2" t="n">
        <v>54.5</v>
      </c>
      <c r="AJ660" s="2" t="n">
        <v>0.8</v>
      </c>
      <c r="AK660" s="2" t="n">
        <v>75</v>
      </c>
      <c r="AL660" s="2"/>
      <c r="AM660" s="2"/>
      <c r="AN660" s="2" t="n">
        <v>5.3</v>
      </c>
      <c r="AO660" s="2" t="n">
        <v>2.6</v>
      </c>
      <c r="AP660" s="2" t="n">
        <v>0.9</v>
      </c>
      <c r="AQ660" s="2" t="n">
        <v>1.6</v>
      </c>
      <c r="AR660" s="2" t="n">
        <v>0.2</v>
      </c>
      <c r="AS660" s="2" t="n">
        <v>4.9</v>
      </c>
      <c r="AT660" s="2" t="n">
        <v>0.4</v>
      </c>
      <c r="AU660" s="2" t="n">
        <v>2.1</v>
      </c>
      <c r="AV660" s="2" t="n">
        <v>1.3</v>
      </c>
      <c r="AW660" s="2" t="n">
        <v>5</v>
      </c>
      <c r="AX660" s="2"/>
      <c r="AY660" s="2"/>
      <c r="AZ660" s="2"/>
      <c r="BA660" s="2"/>
      <c r="BB660" s="2"/>
      <c r="BC660" s="2"/>
      <c r="BD660" s="4" t="s">
        <v>2306</v>
      </c>
    </row>
    <row r="661" customFormat="false" ht="15" hidden="false" customHeight="false" outlineLevel="0" collapsed="false">
      <c r="A661" s="2" t="n">
        <v>1348303</v>
      </c>
      <c r="B661" s="2" t="s">
        <v>2307</v>
      </c>
      <c r="C661" s="2" t="s">
        <v>2262</v>
      </c>
      <c r="D661" s="2" t="s">
        <v>58</v>
      </c>
      <c r="E661" s="2" t="s">
        <v>59</v>
      </c>
      <c r="F661" s="2" t="s">
        <v>102</v>
      </c>
      <c r="G661" s="2" t="s">
        <v>113</v>
      </c>
      <c r="H661" s="2" t="s">
        <v>2308</v>
      </c>
      <c r="I661" s="2" t="n">
        <v>8</v>
      </c>
      <c r="J661" s="2" t="n">
        <v>27</v>
      </c>
      <c r="K661" s="2" t="s">
        <v>2309</v>
      </c>
      <c r="L661" s="2" t="s">
        <v>178</v>
      </c>
      <c r="M661" s="2" t="n">
        <v>191</v>
      </c>
      <c r="N661" s="3" t="n">
        <v>78193</v>
      </c>
      <c r="O661" s="2"/>
      <c r="P661" s="2" t="n">
        <v>26</v>
      </c>
      <c r="Q661" s="3" t="n">
        <v>1493</v>
      </c>
      <c r="R661" s="2" t="n">
        <v>6.82</v>
      </c>
      <c r="S661" s="2" t="n">
        <v>0</v>
      </c>
      <c r="T661" s="2" t="n">
        <v>3</v>
      </c>
      <c r="U661" s="2" t="n">
        <v>1</v>
      </c>
      <c r="V661" s="2" t="n">
        <v>2</v>
      </c>
      <c r="W661" s="2"/>
      <c r="X661" s="2" t="n">
        <v>0.18</v>
      </c>
      <c r="Y661" s="2" t="n">
        <v>2.8</v>
      </c>
      <c r="Z661" s="2" t="n">
        <v>0.8</v>
      </c>
      <c r="AA661" s="2" t="n">
        <v>6.4</v>
      </c>
      <c r="AB661" s="2" t="n">
        <v>5</v>
      </c>
      <c r="AC661" s="2" t="n">
        <v>20</v>
      </c>
      <c r="AD661" s="2" t="n">
        <v>1.2</v>
      </c>
      <c r="AE661" s="2" t="n">
        <v>5</v>
      </c>
      <c r="AF661" s="2" t="n">
        <v>25.9</v>
      </c>
      <c r="AG661" s="2" t="n">
        <v>76.1</v>
      </c>
      <c r="AH661" s="2" t="n">
        <v>0.9</v>
      </c>
      <c r="AI661" s="2" t="n">
        <v>50</v>
      </c>
      <c r="AJ661" s="2" t="n">
        <v>0.7</v>
      </c>
      <c r="AK661" s="2" t="n">
        <v>52.4</v>
      </c>
      <c r="AL661" s="2" t="n">
        <v>1</v>
      </c>
      <c r="AM661" s="2" t="n">
        <v>1.5</v>
      </c>
      <c r="AN661" s="2" t="n">
        <v>2.8</v>
      </c>
      <c r="AO661" s="2" t="n">
        <v>1.2</v>
      </c>
      <c r="AP661" s="2" t="n">
        <v>0.3</v>
      </c>
      <c r="AQ661" s="2" t="n">
        <v>1.1</v>
      </c>
      <c r="AR661" s="2" t="n">
        <v>0.2</v>
      </c>
      <c r="AS661" s="2" t="n">
        <v>3.4</v>
      </c>
      <c r="AT661" s="2" t="n">
        <v>0.2</v>
      </c>
      <c r="AU661" s="2" t="n">
        <v>1.9</v>
      </c>
      <c r="AV661" s="2" t="n">
        <v>2.4</v>
      </c>
      <c r="AW661" s="2" t="n">
        <v>3</v>
      </c>
      <c r="AX661" s="2"/>
      <c r="AY661" s="2" t="n">
        <v>1</v>
      </c>
      <c r="AZ661" s="2"/>
      <c r="BA661" s="2"/>
      <c r="BB661" s="2"/>
      <c r="BC661" s="2"/>
      <c r="BD661" s="4" t="s">
        <v>2310</v>
      </c>
    </row>
    <row r="662" customFormat="false" ht="15" hidden="false" customHeight="false" outlineLevel="0" collapsed="false">
      <c r="A662" s="2" t="n">
        <v>1253521</v>
      </c>
      <c r="B662" s="2" t="s">
        <v>2311</v>
      </c>
      <c r="C662" s="2" t="s">
        <v>2262</v>
      </c>
      <c r="D662" s="2" t="s">
        <v>58</v>
      </c>
      <c r="E662" s="2" t="s">
        <v>59</v>
      </c>
      <c r="F662" s="2" t="s">
        <v>102</v>
      </c>
      <c r="G662" s="2" t="s">
        <v>133</v>
      </c>
      <c r="H662" s="2" t="s">
        <v>2312</v>
      </c>
      <c r="I662" s="2" t="n">
        <v>13</v>
      </c>
      <c r="J662" s="2" t="n">
        <v>29</v>
      </c>
      <c r="K662" s="2" t="s">
        <v>2313</v>
      </c>
      <c r="L662" s="2" t="s">
        <v>243</v>
      </c>
      <c r="M662" s="2" t="n">
        <v>180</v>
      </c>
      <c r="N662" s="3" t="n">
        <v>50000</v>
      </c>
      <c r="O662" s="2"/>
      <c r="P662" s="2" t="n">
        <v>25</v>
      </c>
      <c r="Q662" s="3" t="n">
        <v>1126</v>
      </c>
      <c r="R662" s="2" t="n">
        <v>6.74</v>
      </c>
      <c r="S662" s="2" t="n">
        <v>2</v>
      </c>
      <c r="T662" s="2" t="n">
        <v>5</v>
      </c>
      <c r="U662" s="2" t="n">
        <v>0</v>
      </c>
      <c r="V662" s="2" t="n">
        <v>1</v>
      </c>
      <c r="W662" s="2"/>
      <c r="X662" s="2" t="n">
        <v>0.4</v>
      </c>
      <c r="Y662" s="2" t="n">
        <v>2.2</v>
      </c>
      <c r="Z662" s="2" t="n">
        <v>0.8</v>
      </c>
      <c r="AA662" s="2" t="n">
        <v>18.5</v>
      </c>
      <c r="AB662" s="2" t="n">
        <v>3</v>
      </c>
      <c r="AC662" s="2" t="n">
        <v>17</v>
      </c>
      <c r="AD662" s="2" t="n">
        <v>1.4</v>
      </c>
      <c r="AE662" s="2" t="n">
        <v>3</v>
      </c>
      <c r="AF662" s="2" t="n">
        <v>30.5</v>
      </c>
      <c r="AG662" s="2" t="n">
        <v>79.7</v>
      </c>
      <c r="AH662" s="2" t="n">
        <v>1.7</v>
      </c>
      <c r="AI662" s="2" t="n">
        <v>47.7</v>
      </c>
      <c r="AJ662" s="2" t="n">
        <v>0.6</v>
      </c>
      <c r="AK662" s="2" t="n">
        <v>53.8</v>
      </c>
      <c r="AL662" s="2"/>
      <c r="AM662" s="2"/>
      <c r="AN662" s="2" t="n">
        <v>2.6</v>
      </c>
      <c r="AO662" s="2" t="n">
        <v>1.6</v>
      </c>
      <c r="AP662" s="2" t="n">
        <v>0.6</v>
      </c>
      <c r="AQ662" s="2" t="n">
        <v>0.2</v>
      </c>
      <c r="AR662" s="2" t="n">
        <v>0.1</v>
      </c>
      <c r="AS662" s="2" t="n">
        <v>5.1</v>
      </c>
      <c r="AT662" s="2" t="n">
        <v>0.4</v>
      </c>
      <c r="AU662" s="2" t="n">
        <v>2.8</v>
      </c>
      <c r="AV662" s="2" t="n">
        <v>3</v>
      </c>
      <c r="AW662" s="2" t="n">
        <v>4</v>
      </c>
      <c r="AX662" s="2" t="n">
        <v>1</v>
      </c>
      <c r="AY662" s="2"/>
      <c r="AZ662" s="2"/>
      <c r="BA662" s="2"/>
      <c r="BB662" s="2"/>
      <c r="BC662" s="2"/>
      <c r="BD662" s="4" t="s">
        <v>2314</v>
      </c>
    </row>
    <row r="663" customFormat="false" ht="15" hidden="false" customHeight="false" outlineLevel="0" collapsed="false">
      <c r="A663" s="2" t="n">
        <v>762335</v>
      </c>
      <c r="B663" s="2" t="s">
        <v>2315</v>
      </c>
      <c r="C663" s="2" t="s">
        <v>2262</v>
      </c>
      <c r="D663" s="2" t="s">
        <v>58</v>
      </c>
      <c r="E663" s="2" t="s">
        <v>59</v>
      </c>
      <c r="F663" s="2" t="s">
        <v>102</v>
      </c>
      <c r="G663" s="2" t="s">
        <v>103</v>
      </c>
      <c r="H663" s="2" t="s">
        <v>123</v>
      </c>
      <c r="I663" s="2" t="n">
        <v>4</v>
      </c>
      <c r="J663" s="2" t="n">
        <v>32</v>
      </c>
      <c r="K663" s="2" t="s">
        <v>2316</v>
      </c>
      <c r="L663" s="2" t="s">
        <v>110</v>
      </c>
      <c r="M663" s="2" t="n">
        <v>173</v>
      </c>
      <c r="N663" s="3" t="n">
        <v>50000</v>
      </c>
      <c r="O663" s="2"/>
      <c r="P663" s="2" t="n">
        <v>20</v>
      </c>
      <c r="Q663" s="3" t="n">
        <v>1111</v>
      </c>
      <c r="R663" s="2" t="n">
        <v>7.01</v>
      </c>
      <c r="S663" s="2" t="n">
        <v>0</v>
      </c>
      <c r="T663" s="2"/>
      <c r="U663" s="2"/>
      <c r="V663" s="2" t="n">
        <v>1</v>
      </c>
      <c r="W663" s="2"/>
      <c r="X663" s="2"/>
      <c r="Y663" s="2" t="n">
        <v>1.2</v>
      </c>
      <c r="Z663" s="2" t="n">
        <v>0.2</v>
      </c>
      <c r="AA663" s="2" t="n">
        <v>0</v>
      </c>
      <c r="AB663" s="2" t="n">
        <v>1</v>
      </c>
      <c r="AC663" s="2" t="n">
        <v>14</v>
      </c>
      <c r="AD663" s="2" t="n">
        <v>1.1</v>
      </c>
      <c r="AE663" s="2" t="n">
        <v>3</v>
      </c>
      <c r="AF663" s="2" t="n">
        <v>44</v>
      </c>
      <c r="AG663" s="2" t="n">
        <v>80.4</v>
      </c>
      <c r="AH663" s="2" t="n">
        <v>4.6</v>
      </c>
      <c r="AI663" s="2" t="n">
        <v>56.4</v>
      </c>
      <c r="AJ663" s="2" t="n">
        <v>0.6</v>
      </c>
      <c r="AK663" s="2" t="n">
        <v>77.8</v>
      </c>
      <c r="AL663" s="2" t="n">
        <v>1</v>
      </c>
      <c r="AM663" s="2" t="n">
        <v>1.5</v>
      </c>
      <c r="AN663" s="2" t="n">
        <v>4.3</v>
      </c>
      <c r="AO663" s="2" t="n">
        <v>2.6</v>
      </c>
      <c r="AP663" s="2" t="n">
        <v>0.7</v>
      </c>
      <c r="AQ663" s="2" t="n">
        <v>0.9</v>
      </c>
      <c r="AR663" s="2" t="n">
        <v>0.1</v>
      </c>
      <c r="AS663" s="2" t="n">
        <v>5.8</v>
      </c>
      <c r="AT663" s="2" t="n">
        <v>0.2</v>
      </c>
      <c r="AU663" s="2" t="n">
        <v>3.4</v>
      </c>
      <c r="AV663" s="2" t="n">
        <v>1.2</v>
      </c>
      <c r="AW663" s="2" t="n">
        <v>4</v>
      </c>
      <c r="AX663" s="2"/>
      <c r="AY663" s="2"/>
      <c r="AZ663" s="2"/>
      <c r="BA663" s="2"/>
      <c r="BB663" s="2"/>
      <c r="BC663" s="2"/>
      <c r="BD663" s="4" t="s">
        <v>2317</v>
      </c>
    </row>
    <row r="664" customFormat="false" ht="15" hidden="false" customHeight="false" outlineLevel="0" collapsed="false">
      <c r="A664" s="2" t="n">
        <v>847568</v>
      </c>
      <c r="B664" s="2" t="s">
        <v>2318</v>
      </c>
      <c r="C664" s="2" t="s">
        <v>2262</v>
      </c>
      <c r="D664" s="2" t="s">
        <v>58</v>
      </c>
      <c r="E664" s="2" t="s">
        <v>59</v>
      </c>
      <c r="F664" s="2" t="s">
        <v>102</v>
      </c>
      <c r="G664" s="2" t="s">
        <v>113</v>
      </c>
      <c r="H664" s="2" t="s">
        <v>119</v>
      </c>
      <c r="I664" s="2" t="n">
        <v>16</v>
      </c>
      <c r="J664" s="2" t="n">
        <v>30</v>
      </c>
      <c r="K664" s="2" t="s">
        <v>2319</v>
      </c>
      <c r="L664" s="2" t="s">
        <v>965</v>
      </c>
      <c r="M664" s="2" t="n">
        <v>178</v>
      </c>
      <c r="N664" s="3" t="n">
        <v>50000</v>
      </c>
      <c r="O664" s="2"/>
      <c r="P664" s="2" t="n">
        <v>24</v>
      </c>
      <c r="Q664" s="3" t="n">
        <v>1103</v>
      </c>
      <c r="R664" s="2" t="n">
        <v>6.81</v>
      </c>
      <c r="S664" s="2" t="n">
        <v>0</v>
      </c>
      <c r="T664" s="2" t="n">
        <v>5</v>
      </c>
      <c r="U664" s="2" t="n">
        <v>0</v>
      </c>
      <c r="V664" s="2" t="n">
        <v>2</v>
      </c>
      <c r="W664" s="2"/>
      <c r="X664" s="2" t="n">
        <v>0.41</v>
      </c>
      <c r="Y664" s="2" t="n">
        <v>2.8</v>
      </c>
      <c r="Z664" s="2" t="n">
        <v>0.7</v>
      </c>
      <c r="AA664" s="2" t="n">
        <v>14.7</v>
      </c>
      <c r="AB664" s="2" t="n">
        <v>2</v>
      </c>
      <c r="AC664" s="2" t="n">
        <v>22</v>
      </c>
      <c r="AD664" s="2" t="n">
        <v>1.8</v>
      </c>
      <c r="AE664" s="2" t="n">
        <v>2</v>
      </c>
      <c r="AF664" s="2" t="n">
        <v>22.1</v>
      </c>
      <c r="AG664" s="2" t="n">
        <v>76.8</v>
      </c>
      <c r="AH664" s="2" t="n">
        <v>1</v>
      </c>
      <c r="AI664" s="2" t="n">
        <v>42.9</v>
      </c>
      <c r="AJ664" s="2" t="n">
        <v>0.3</v>
      </c>
      <c r="AK664" s="2" t="n">
        <v>23.5</v>
      </c>
      <c r="AL664" s="2"/>
      <c r="AM664" s="2"/>
      <c r="AN664" s="2" t="n">
        <v>1.6</v>
      </c>
      <c r="AO664" s="2" t="n">
        <v>0.7</v>
      </c>
      <c r="AP664" s="2" t="n">
        <v>0.5</v>
      </c>
      <c r="AQ664" s="2" t="n">
        <v>0.2</v>
      </c>
      <c r="AR664" s="2" t="n">
        <v>0.2</v>
      </c>
      <c r="AS664" s="2" t="n">
        <v>3.5</v>
      </c>
      <c r="AT664" s="2" t="n">
        <v>0.7</v>
      </c>
      <c r="AU664" s="2" t="n">
        <v>2.1</v>
      </c>
      <c r="AV664" s="2" t="n">
        <v>1.9</v>
      </c>
      <c r="AW664" s="2" t="n">
        <v>4</v>
      </c>
      <c r="AX664" s="2"/>
      <c r="AY664" s="2"/>
      <c r="AZ664" s="2"/>
      <c r="BA664" s="2"/>
      <c r="BB664" s="2"/>
      <c r="BC664" s="2"/>
      <c r="BD664" s="4" t="s">
        <v>2320</v>
      </c>
    </row>
    <row r="665" customFormat="false" ht="15" hidden="false" customHeight="false" outlineLevel="0" collapsed="false">
      <c r="A665" s="2" t="n">
        <v>1463307</v>
      </c>
      <c r="B665" s="2" t="s">
        <v>2321</v>
      </c>
      <c r="C665" s="2" t="s">
        <v>2262</v>
      </c>
      <c r="D665" s="2" t="s">
        <v>58</v>
      </c>
      <c r="E665" s="2" t="s">
        <v>59</v>
      </c>
      <c r="F665" s="2" t="s">
        <v>137</v>
      </c>
      <c r="G665" s="2" t="s">
        <v>147</v>
      </c>
      <c r="H665" s="2" t="s">
        <v>317</v>
      </c>
      <c r="I665" s="2" t="n">
        <v>9</v>
      </c>
      <c r="J665" s="2" t="n">
        <v>25</v>
      </c>
      <c r="K665" s="2" t="s">
        <v>2322</v>
      </c>
      <c r="L665" s="2" t="s">
        <v>67</v>
      </c>
      <c r="M665" s="2" t="n">
        <v>183</v>
      </c>
      <c r="N665" s="3" t="n">
        <v>105483</v>
      </c>
      <c r="O665" s="2"/>
      <c r="P665" s="2" t="n">
        <v>25</v>
      </c>
      <c r="Q665" s="3" t="n">
        <v>1801</v>
      </c>
      <c r="R665" s="2" t="n">
        <v>7.08</v>
      </c>
      <c r="S665" s="2" t="n">
        <v>5</v>
      </c>
      <c r="T665" s="2" t="n">
        <v>12</v>
      </c>
      <c r="U665" s="2" t="n">
        <v>2</v>
      </c>
      <c r="V665" s="2" t="n">
        <v>4</v>
      </c>
      <c r="W665" s="2"/>
      <c r="X665" s="2" t="n">
        <v>0.6</v>
      </c>
      <c r="Y665" s="2" t="n">
        <v>2.6</v>
      </c>
      <c r="Z665" s="2" t="n">
        <v>1</v>
      </c>
      <c r="AA665" s="2" t="n">
        <v>22.6</v>
      </c>
      <c r="AB665" s="2" t="n">
        <v>8</v>
      </c>
      <c r="AC665" s="2" t="n">
        <v>19</v>
      </c>
      <c r="AD665" s="2" t="n">
        <v>0.9</v>
      </c>
      <c r="AE665" s="2" t="n">
        <v>6</v>
      </c>
      <c r="AF665" s="2" t="n">
        <v>9.6</v>
      </c>
      <c r="AG665" s="2" t="n">
        <v>70.2</v>
      </c>
      <c r="AH665" s="2" t="n">
        <v>0.3</v>
      </c>
      <c r="AI665" s="2" t="n">
        <v>53.8</v>
      </c>
      <c r="AJ665" s="2" t="n">
        <v>0.6</v>
      </c>
      <c r="AK665" s="2" t="n">
        <v>41.4</v>
      </c>
      <c r="AL665" s="2" t="n">
        <v>1</v>
      </c>
      <c r="AM665" s="2" t="n">
        <v>1.2</v>
      </c>
      <c r="AN665" s="2" t="n">
        <v>0.9</v>
      </c>
      <c r="AO665" s="2" t="n">
        <v>0.3</v>
      </c>
      <c r="AP665" s="2" t="n">
        <v>0.2</v>
      </c>
      <c r="AQ665" s="2" t="n">
        <v>0.4</v>
      </c>
      <c r="AR665" s="2"/>
      <c r="AS665" s="2" t="n">
        <v>1.5</v>
      </c>
      <c r="AT665" s="2" t="n">
        <v>0.4</v>
      </c>
      <c r="AU665" s="2" t="n">
        <v>0.9</v>
      </c>
      <c r="AV665" s="2" t="n">
        <v>1.3</v>
      </c>
      <c r="AW665" s="2" t="n">
        <v>2</v>
      </c>
      <c r="AX665" s="2"/>
      <c r="AY665" s="2"/>
      <c r="AZ665" s="2"/>
      <c r="BA665" s="2"/>
      <c r="BB665" s="2"/>
      <c r="BC665" s="2"/>
      <c r="BD665" s="4" t="s">
        <v>2323</v>
      </c>
    </row>
    <row r="666" customFormat="false" ht="15" hidden="false" customHeight="false" outlineLevel="0" collapsed="false">
      <c r="A666" s="2" t="n">
        <v>858760</v>
      </c>
      <c r="B666" s="2" t="s">
        <v>2324</v>
      </c>
      <c r="C666" s="2" t="s">
        <v>2262</v>
      </c>
      <c r="D666" s="2" t="s">
        <v>58</v>
      </c>
      <c r="E666" s="2" t="s">
        <v>59</v>
      </c>
      <c r="F666" s="2" t="s">
        <v>137</v>
      </c>
      <c r="G666" s="2" t="s">
        <v>138</v>
      </c>
      <c r="H666" s="2" t="s">
        <v>2325</v>
      </c>
      <c r="I666" s="2" t="n">
        <v>10</v>
      </c>
      <c r="J666" s="2" t="n">
        <v>31</v>
      </c>
      <c r="K666" s="2" t="s">
        <v>2326</v>
      </c>
      <c r="L666" s="2" t="s">
        <v>67</v>
      </c>
      <c r="M666" s="2" t="n">
        <v>178</v>
      </c>
      <c r="N666" s="3" t="n">
        <v>50000</v>
      </c>
      <c r="O666" s="2"/>
      <c r="P666" s="2" t="n">
        <v>23</v>
      </c>
      <c r="Q666" s="3" t="n">
        <v>1762</v>
      </c>
      <c r="R666" s="2" t="n">
        <v>7.2</v>
      </c>
      <c r="S666" s="2" t="n">
        <v>3</v>
      </c>
      <c r="T666" s="2" t="n">
        <v>6</v>
      </c>
      <c r="U666" s="2" t="n">
        <v>0</v>
      </c>
      <c r="V666" s="2" t="n">
        <v>4</v>
      </c>
      <c r="W666" s="2"/>
      <c r="X666" s="2" t="n">
        <v>0.31</v>
      </c>
      <c r="Y666" s="2" t="n">
        <v>2.5</v>
      </c>
      <c r="Z666" s="2" t="n">
        <v>1.1</v>
      </c>
      <c r="AA666" s="2" t="n">
        <v>12.5</v>
      </c>
      <c r="AB666" s="2" t="n">
        <v>6</v>
      </c>
      <c r="AC666" s="2" t="n">
        <v>36</v>
      </c>
      <c r="AD666" s="2" t="n">
        <v>1.8</v>
      </c>
      <c r="AE666" s="2" t="n">
        <v>4</v>
      </c>
      <c r="AF666" s="2" t="n">
        <v>18.6</v>
      </c>
      <c r="AG666" s="2" t="n">
        <v>72.1</v>
      </c>
      <c r="AH666" s="2" t="n">
        <v>0.8</v>
      </c>
      <c r="AI666" s="2" t="n">
        <v>43.2</v>
      </c>
      <c r="AJ666" s="2" t="n">
        <v>1.7</v>
      </c>
      <c r="AK666" s="2" t="n">
        <v>47.2</v>
      </c>
      <c r="AL666" s="2"/>
      <c r="AM666" s="2"/>
      <c r="AN666" s="2" t="n">
        <v>1.5</v>
      </c>
      <c r="AO666" s="2" t="n">
        <v>0.9</v>
      </c>
      <c r="AP666" s="2" t="n">
        <v>0.2</v>
      </c>
      <c r="AQ666" s="2" t="n">
        <v>0.4</v>
      </c>
      <c r="AR666" s="2" t="n">
        <v>0.1</v>
      </c>
      <c r="AS666" s="2" t="n">
        <v>3.9</v>
      </c>
      <c r="AT666" s="2" t="n">
        <v>0.5</v>
      </c>
      <c r="AU666" s="2" t="n">
        <v>2.2</v>
      </c>
      <c r="AV666" s="2" t="n">
        <v>1.1</v>
      </c>
      <c r="AW666" s="2" t="n">
        <v>3</v>
      </c>
      <c r="AX666" s="2"/>
      <c r="AY666" s="2"/>
      <c r="AZ666" s="2"/>
      <c r="BA666" s="2"/>
      <c r="BB666" s="2"/>
      <c r="BC666" s="2"/>
      <c r="BD666" s="4" t="s">
        <v>2327</v>
      </c>
    </row>
    <row r="667" customFormat="false" ht="15" hidden="false" customHeight="false" outlineLevel="0" collapsed="false">
      <c r="A667" s="2" t="n">
        <v>289441</v>
      </c>
      <c r="B667" s="2" t="s">
        <v>2328</v>
      </c>
      <c r="C667" s="2" t="s">
        <v>2262</v>
      </c>
      <c r="D667" s="2" t="s">
        <v>58</v>
      </c>
      <c r="E667" s="2" t="s">
        <v>59</v>
      </c>
      <c r="F667" s="2" t="s">
        <v>137</v>
      </c>
      <c r="G667" s="2" t="s">
        <v>147</v>
      </c>
      <c r="H667" s="2" t="s">
        <v>147</v>
      </c>
      <c r="I667" s="2" t="n">
        <v>19</v>
      </c>
      <c r="J667" s="2" t="n">
        <v>32</v>
      </c>
      <c r="K667" s="2" t="s">
        <v>2329</v>
      </c>
      <c r="L667" s="2" t="s">
        <v>1269</v>
      </c>
      <c r="M667" s="2" t="n">
        <v>193</v>
      </c>
      <c r="N667" s="3" t="n">
        <v>63563</v>
      </c>
      <c r="O667" s="2"/>
      <c r="P667" s="2" t="n">
        <v>20</v>
      </c>
      <c r="Q667" s="3" t="n">
        <v>1492</v>
      </c>
      <c r="R667" s="2" t="n">
        <v>6.9</v>
      </c>
      <c r="S667" s="2" t="n">
        <v>3</v>
      </c>
      <c r="T667" s="2" t="n">
        <v>8</v>
      </c>
      <c r="U667" s="2" t="n">
        <v>0</v>
      </c>
      <c r="V667" s="2"/>
      <c r="W667" s="2"/>
      <c r="X667" s="2" t="n">
        <v>0.48</v>
      </c>
      <c r="Y667" s="2" t="n">
        <v>3.1</v>
      </c>
      <c r="Z667" s="2" t="n">
        <v>1.4</v>
      </c>
      <c r="AA667" s="2" t="n">
        <v>15.4</v>
      </c>
      <c r="AB667" s="2" t="n">
        <v>7</v>
      </c>
      <c r="AC667" s="2" t="n">
        <v>17</v>
      </c>
      <c r="AD667" s="2" t="n">
        <v>1</v>
      </c>
      <c r="AE667" s="2" t="n">
        <v>4</v>
      </c>
      <c r="AF667" s="2" t="n">
        <v>15.9</v>
      </c>
      <c r="AG667" s="2" t="n">
        <v>81</v>
      </c>
      <c r="AH667" s="2" t="n">
        <v>0.5</v>
      </c>
      <c r="AI667" s="2" t="n">
        <v>56.3</v>
      </c>
      <c r="AJ667" s="2" t="n">
        <v>0.5</v>
      </c>
      <c r="AK667" s="2" t="n">
        <v>52.9</v>
      </c>
      <c r="AL667" s="2"/>
      <c r="AM667" s="2"/>
      <c r="AN667" s="2" t="n">
        <v>1.3</v>
      </c>
      <c r="AO667" s="2" t="n">
        <v>0.4</v>
      </c>
      <c r="AP667" s="2" t="n">
        <v>0.1</v>
      </c>
      <c r="AQ667" s="2" t="n">
        <v>0.8</v>
      </c>
      <c r="AR667" s="2"/>
      <c r="AS667" s="2" t="n">
        <v>2.2</v>
      </c>
      <c r="AT667" s="2" t="n">
        <v>0.5</v>
      </c>
      <c r="AU667" s="2" t="n">
        <v>1.5</v>
      </c>
      <c r="AV667" s="2" t="n">
        <v>2.8</v>
      </c>
      <c r="AW667" s="2" t="n">
        <v>3</v>
      </c>
      <c r="AX667" s="2"/>
      <c r="AY667" s="2"/>
      <c r="AZ667" s="2"/>
      <c r="BA667" s="2"/>
      <c r="BB667" s="2"/>
      <c r="BC667" s="2"/>
      <c r="BD667" s="4" t="s">
        <v>2330</v>
      </c>
    </row>
    <row r="668" customFormat="false" ht="15" hidden="false" customHeight="false" outlineLevel="0" collapsed="false">
      <c r="A668" s="2" t="n">
        <v>1173020</v>
      </c>
      <c r="B668" s="2" t="s">
        <v>2331</v>
      </c>
      <c r="C668" s="2" t="s">
        <v>2262</v>
      </c>
      <c r="D668" s="2" t="s">
        <v>58</v>
      </c>
      <c r="E668" s="2" t="s">
        <v>59</v>
      </c>
      <c r="F668" s="2" t="s">
        <v>137</v>
      </c>
      <c r="G668" s="2" t="s">
        <v>133</v>
      </c>
      <c r="H668" s="2" t="s">
        <v>237</v>
      </c>
      <c r="I668" s="2" t="n">
        <v>7</v>
      </c>
      <c r="J668" s="2" t="n">
        <v>28</v>
      </c>
      <c r="K668" s="2" t="s">
        <v>2332</v>
      </c>
      <c r="L668" s="2" t="s">
        <v>67</v>
      </c>
      <c r="M668" s="2" t="n">
        <v>185</v>
      </c>
      <c r="N668" s="3" t="n">
        <v>60443</v>
      </c>
      <c r="O668" s="2"/>
      <c r="P668" s="2" t="n">
        <v>23</v>
      </c>
      <c r="Q668" s="3" t="n">
        <v>855</v>
      </c>
      <c r="R668" s="2" t="n">
        <v>6.6</v>
      </c>
      <c r="S668" s="2" t="n">
        <v>0</v>
      </c>
      <c r="T668" s="2" t="n">
        <v>3</v>
      </c>
      <c r="U668" s="2" t="n">
        <v>0</v>
      </c>
      <c r="V668" s="2" t="n">
        <v>2</v>
      </c>
      <c r="W668" s="2"/>
      <c r="X668" s="2" t="n">
        <v>0.32</v>
      </c>
      <c r="Y668" s="2" t="n">
        <v>2.8</v>
      </c>
      <c r="Z668" s="2" t="n">
        <v>0.8</v>
      </c>
      <c r="AA668" s="2" t="n">
        <v>11.1</v>
      </c>
      <c r="AB668" s="2" t="n">
        <v>3</v>
      </c>
      <c r="AC668" s="2" t="n">
        <v>15</v>
      </c>
      <c r="AD668" s="2" t="n">
        <v>1.6</v>
      </c>
      <c r="AE668" s="2" t="n">
        <v>2</v>
      </c>
      <c r="AF668" s="2" t="n">
        <v>13.6</v>
      </c>
      <c r="AG668" s="2" t="n">
        <v>69.7</v>
      </c>
      <c r="AH668" s="2" t="n">
        <v>0.3</v>
      </c>
      <c r="AI668" s="2" t="n">
        <v>33.3</v>
      </c>
      <c r="AJ668" s="2" t="n">
        <v>0.4</v>
      </c>
      <c r="AK668" s="2" t="n">
        <v>33.3</v>
      </c>
      <c r="AL668" s="2"/>
      <c r="AM668" s="2"/>
      <c r="AN668" s="2" t="n">
        <v>2</v>
      </c>
      <c r="AO668" s="2" t="n">
        <v>1.4</v>
      </c>
      <c r="AP668" s="2" t="n">
        <v>0.2</v>
      </c>
      <c r="AQ668" s="2" t="n">
        <v>0.4</v>
      </c>
      <c r="AR668" s="2"/>
      <c r="AS668" s="2" t="n">
        <v>2.5</v>
      </c>
      <c r="AT668" s="2" t="n">
        <v>0.4</v>
      </c>
      <c r="AU668" s="2" t="n">
        <v>1.9</v>
      </c>
      <c r="AV668" s="2" t="n">
        <v>1.6</v>
      </c>
      <c r="AW668" s="2" t="n">
        <v>2</v>
      </c>
      <c r="AX668" s="2"/>
      <c r="AY668" s="2"/>
      <c r="AZ668" s="2"/>
      <c r="BA668" s="2"/>
      <c r="BB668" s="2"/>
      <c r="BC668" s="2"/>
      <c r="BD668" s="4" t="s">
        <v>2333</v>
      </c>
    </row>
    <row r="669" customFormat="false" ht="15" hidden="false" customHeight="false" outlineLevel="0" collapsed="false">
      <c r="A669" s="2" t="n">
        <v>1615778</v>
      </c>
      <c r="B669" s="2" t="s">
        <v>2334</v>
      </c>
      <c r="C669" s="2" t="s">
        <v>2262</v>
      </c>
      <c r="D669" s="2" t="s">
        <v>58</v>
      </c>
      <c r="E669" s="2" t="s">
        <v>59</v>
      </c>
      <c r="F669" s="2" t="s">
        <v>137</v>
      </c>
      <c r="G669" s="2" t="s">
        <v>147</v>
      </c>
      <c r="H669" s="2" t="s">
        <v>147</v>
      </c>
      <c r="I669" s="2" t="n">
        <v>14</v>
      </c>
      <c r="J669" s="2" t="n">
        <v>26</v>
      </c>
      <c r="K669" s="2" t="s">
        <v>2335</v>
      </c>
      <c r="L669" s="2" t="s">
        <v>67</v>
      </c>
      <c r="M669" s="2" t="n">
        <v>191</v>
      </c>
      <c r="N669" s="3" t="n">
        <v>106492</v>
      </c>
      <c r="O669" s="2"/>
      <c r="P669" s="2" t="n">
        <v>20</v>
      </c>
      <c r="Q669" s="3" t="n">
        <v>436</v>
      </c>
      <c r="R669" s="2"/>
      <c r="S669" s="2"/>
      <c r="T669" s="2" t="n">
        <v>1</v>
      </c>
      <c r="U669" s="2" t="n">
        <v>0</v>
      </c>
      <c r="V669" s="2"/>
      <c r="W669" s="2"/>
      <c r="X669" s="2" t="n">
        <v>0.21</v>
      </c>
      <c r="Y669" s="2" t="n">
        <v>3.3</v>
      </c>
      <c r="Z669" s="2" t="n">
        <v>1</v>
      </c>
      <c r="AA669" s="2" t="n">
        <v>6.3</v>
      </c>
      <c r="AB669" s="2" t="n">
        <v>4</v>
      </c>
      <c r="AC669" s="2" t="n">
        <v>9</v>
      </c>
      <c r="AD669" s="2" t="n">
        <v>1.9</v>
      </c>
      <c r="AE669" s="2" t="n">
        <v>1</v>
      </c>
      <c r="AF669" s="2" t="n">
        <v>16.1</v>
      </c>
      <c r="AG669" s="2" t="n">
        <v>66.7</v>
      </c>
      <c r="AH669" s="2"/>
      <c r="AI669" s="2"/>
      <c r="AJ669" s="2" t="n">
        <v>1.7</v>
      </c>
      <c r="AK669" s="2" t="n">
        <v>57.1</v>
      </c>
      <c r="AL669" s="2"/>
      <c r="AM669" s="2"/>
      <c r="AN669" s="2" t="n">
        <v>1</v>
      </c>
      <c r="AO669" s="2" t="n">
        <v>0.4</v>
      </c>
      <c r="AP669" s="2"/>
      <c r="AQ669" s="2" t="n">
        <v>0.6</v>
      </c>
      <c r="AR669" s="2"/>
      <c r="AS669" s="2" t="n">
        <v>2.5</v>
      </c>
      <c r="AT669" s="2" t="n">
        <v>0.6</v>
      </c>
      <c r="AU669" s="2" t="n">
        <v>1.2</v>
      </c>
      <c r="AV669" s="2" t="n">
        <v>3.7</v>
      </c>
      <c r="AW669" s="2"/>
      <c r="AX669" s="2"/>
      <c r="AY669" s="2"/>
      <c r="AZ669" s="2"/>
      <c r="BA669" s="2"/>
      <c r="BB669" s="2"/>
      <c r="BC669" s="2"/>
      <c r="BD669" s="4" t="s">
        <v>2336</v>
      </c>
    </row>
    <row r="670" customFormat="false" ht="15" hidden="false" customHeight="false" outlineLevel="0" collapsed="false">
      <c r="A670" s="2" t="n">
        <v>1440020</v>
      </c>
      <c r="B670" s="2" t="s">
        <v>2337</v>
      </c>
      <c r="C670" s="2" t="s">
        <v>2262</v>
      </c>
      <c r="D670" s="2" t="s">
        <v>58</v>
      </c>
      <c r="E670" s="2" t="s">
        <v>59</v>
      </c>
      <c r="F670" s="2" t="s">
        <v>137</v>
      </c>
      <c r="G670" s="2" t="s">
        <v>138</v>
      </c>
      <c r="H670" s="2" t="s">
        <v>138</v>
      </c>
      <c r="I670" s="2" t="n">
        <v>11</v>
      </c>
      <c r="J670" s="2" t="n">
        <v>25</v>
      </c>
      <c r="K670" s="2" t="s">
        <v>2338</v>
      </c>
      <c r="L670" s="2" t="s">
        <v>2339</v>
      </c>
      <c r="M670" s="2" t="n">
        <v>168</v>
      </c>
      <c r="N670" s="3" t="n">
        <v>74480</v>
      </c>
      <c r="O670" s="2"/>
      <c r="P670" s="2" t="n">
        <v>3</v>
      </c>
      <c r="Q670" s="3" t="n">
        <v>97</v>
      </c>
      <c r="R670" s="2"/>
      <c r="S670" s="2"/>
      <c r="T670" s="2" t="n">
        <v>1</v>
      </c>
      <c r="U670" s="2" t="n">
        <v>0</v>
      </c>
      <c r="V670" s="2"/>
      <c r="W670" s="2"/>
      <c r="X670" s="2"/>
      <c r="Y670" s="2"/>
      <c r="Z670" s="2"/>
      <c r="AA670" s="2"/>
      <c r="AB670" s="2"/>
      <c r="AC670" s="2" t="n">
        <v>1</v>
      </c>
      <c r="AD670" s="2" t="n">
        <v>0.9</v>
      </c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4" t="s">
        <v>2340</v>
      </c>
    </row>
    <row r="671" customFormat="false" ht="15" hidden="false" customHeight="false" outlineLevel="0" collapsed="false">
      <c r="A671" s="2" t="n">
        <v>1626272</v>
      </c>
      <c r="B671" s="2" t="s">
        <v>2341</v>
      </c>
      <c r="C671" s="2" t="s">
        <v>57</v>
      </c>
      <c r="D671" s="2" t="s">
        <v>58</v>
      </c>
      <c r="E671" s="2" t="s">
        <v>2342</v>
      </c>
      <c r="F671" s="2" t="s">
        <v>70</v>
      </c>
      <c r="G671" s="2"/>
      <c r="H671" s="2"/>
      <c r="I671" s="2"/>
      <c r="J671" s="2"/>
      <c r="K671" s="2"/>
      <c r="L671" s="2" t="s">
        <v>67</v>
      </c>
      <c r="M671" s="2"/>
      <c r="N671" s="3"/>
      <c r="O671" s="2"/>
      <c r="P671" s="2" t="n">
        <v>10</v>
      </c>
      <c r="Q671" s="3" t="n">
        <v>725</v>
      </c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 t="n">
        <v>1</v>
      </c>
      <c r="AC671" s="2" t="n">
        <v>1</v>
      </c>
      <c r="AD671" s="2" t="n">
        <v>0.1</v>
      </c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4" t="s">
        <v>2343</v>
      </c>
    </row>
    <row r="672" customFormat="false" ht="15" hidden="false" customHeight="false" outlineLevel="0" collapsed="false">
      <c r="A672" s="2" t="n">
        <v>1440017</v>
      </c>
      <c r="B672" s="2" t="s">
        <v>2344</v>
      </c>
      <c r="C672" s="2" t="s">
        <v>57</v>
      </c>
      <c r="D672" s="2" t="s">
        <v>58</v>
      </c>
      <c r="E672" s="2" t="s">
        <v>2342</v>
      </c>
      <c r="F672" s="2" t="s">
        <v>70</v>
      </c>
      <c r="G672" s="2"/>
      <c r="H672" s="2"/>
      <c r="I672" s="2"/>
      <c r="J672" s="2"/>
      <c r="K672" s="2"/>
      <c r="L672" s="2" t="s">
        <v>67</v>
      </c>
      <c r="M672" s="2"/>
      <c r="N672" s="3"/>
      <c r="O672" s="2"/>
      <c r="P672" s="2" t="n">
        <v>7</v>
      </c>
      <c r="Q672" s="3" t="n">
        <v>561</v>
      </c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 t="n">
        <v>2</v>
      </c>
      <c r="AD672" s="2" t="n">
        <v>0.3</v>
      </c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 t="n">
        <v>3</v>
      </c>
      <c r="AX672" s="2"/>
      <c r="AY672" s="2"/>
      <c r="AZ672" s="2"/>
      <c r="BA672" s="2"/>
      <c r="BB672" s="2"/>
      <c r="BC672" s="2"/>
      <c r="BD672" s="4" t="s">
        <v>2345</v>
      </c>
    </row>
    <row r="673" customFormat="false" ht="15" hidden="false" customHeight="false" outlineLevel="0" collapsed="false">
      <c r="A673" s="2" t="n">
        <v>1360350</v>
      </c>
      <c r="B673" s="2" t="s">
        <v>2346</v>
      </c>
      <c r="C673" s="2" t="s">
        <v>57</v>
      </c>
      <c r="D673" s="2" t="s">
        <v>58</v>
      </c>
      <c r="E673" s="2" t="s">
        <v>2342</v>
      </c>
      <c r="F673" s="2" t="s">
        <v>70</v>
      </c>
      <c r="G673" s="2"/>
      <c r="H673" s="2"/>
      <c r="I673" s="2"/>
      <c r="J673" s="2"/>
      <c r="K673" s="2"/>
      <c r="L673" s="2" t="s">
        <v>67</v>
      </c>
      <c r="M673" s="2"/>
      <c r="N673" s="3"/>
      <c r="O673" s="2"/>
      <c r="P673" s="2" t="n">
        <v>6</v>
      </c>
      <c r="Q673" s="3" t="n">
        <v>289</v>
      </c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 t="n">
        <v>5</v>
      </c>
      <c r="AD673" s="2" t="n">
        <v>1.6</v>
      </c>
      <c r="AE673" s="2" t="n">
        <v>1</v>
      </c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 t="n">
        <v>1</v>
      </c>
      <c r="AY673" s="2"/>
      <c r="AZ673" s="2"/>
      <c r="BA673" s="2"/>
      <c r="BB673" s="2"/>
      <c r="BC673" s="2"/>
      <c r="BD673" s="4" t="s">
        <v>2347</v>
      </c>
    </row>
    <row r="674" customFormat="false" ht="15" hidden="false" customHeight="false" outlineLevel="0" collapsed="false">
      <c r="A674" s="2" t="n">
        <v>1732519</v>
      </c>
      <c r="B674" s="2" t="s">
        <v>2348</v>
      </c>
      <c r="C674" s="2" t="s">
        <v>164</v>
      </c>
      <c r="D674" s="2" t="s">
        <v>58</v>
      </c>
      <c r="E674" s="2" t="s">
        <v>2342</v>
      </c>
      <c r="F674" s="2" t="s">
        <v>60</v>
      </c>
      <c r="G674" s="2"/>
      <c r="H674" s="2"/>
      <c r="I674" s="2"/>
      <c r="J674" s="2"/>
      <c r="K674" s="2"/>
      <c r="L674" s="2" t="s">
        <v>67</v>
      </c>
      <c r="M674" s="2"/>
      <c r="N674" s="3"/>
      <c r="O674" s="2"/>
      <c r="P674" s="2" t="n">
        <v>3</v>
      </c>
      <c r="Q674" s="3" t="n">
        <v>270</v>
      </c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 t="n">
        <v>1</v>
      </c>
      <c r="BA674" s="2"/>
      <c r="BB674" s="2"/>
      <c r="BC674" s="2"/>
      <c r="BD674" s="4" t="s">
        <v>2349</v>
      </c>
    </row>
    <row r="675" customFormat="false" ht="15" hidden="false" customHeight="false" outlineLevel="0" collapsed="false">
      <c r="A675" s="2" t="n">
        <v>1537807</v>
      </c>
      <c r="B675" s="2" t="s">
        <v>2350</v>
      </c>
      <c r="C675" s="2" t="s">
        <v>164</v>
      </c>
      <c r="D675" s="2" t="s">
        <v>58</v>
      </c>
      <c r="E675" s="2" t="s">
        <v>2342</v>
      </c>
      <c r="F675" s="2" t="s">
        <v>137</v>
      </c>
      <c r="G675" s="2"/>
      <c r="H675" s="2"/>
      <c r="I675" s="2"/>
      <c r="J675" s="2"/>
      <c r="K675" s="2"/>
      <c r="L675" s="2" t="s">
        <v>67</v>
      </c>
      <c r="M675" s="2"/>
      <c r="N675" s="3"/>
      <c r="O675" s="2"/>
      <c r="P675" s="2" t="n">
        <v>16</v>
      </c>
      <c r="Q675" s="3" t="n">
        <v>1274</v>
      </c>
      <c r="R675" s="2" t="n">
        <v>6.95</v>
      </c>
      <c r="S675" s="2" t="n">
        <v>1</v>
      </c>
      <c r="T675" s="2" t="n">
        <v>6</v>
      </c>
      <c r="U675" s="2" t="n">
        <v>0</v>
      </c>
      <c r="V675" s="2" t="n">
        <v>4</v>
      </c>
      <c r="W675" s="2"/>
      <c r="X675" s="2" t="n">
        <v>0.42</v>
      </c>
      <c r="Y675" s="2" t="n">
        <v>1.8</v>
      </c>
      <c r="Z675" s="2" t="n">
        <v>0.9</v>
      </c>
      <c r="AA675" s="2" t="n">
        <v>24</v>
      </c>
      <c r="AB675" s="2" t="n">
        <v>3</v>
      </c>
      <c r="AC675" s="2" t="n">
        <v>16</v>
      </c>
      <c r="AD675" s="2" t="n">
        <v>1.1</v>
      </c>
      <c r="AE675" s="2" t="n">
        <v>3</v>
      </c>
      <c r="AF675" s="2" t="n">
        <v>11</v>
      </c>
      <c r="AG675" s="2" t="n">
        <v>65</v>
      </c>
      <c r="AH675" s="2" t="n">
        <v>0.4</v>
      </c>
      <c r="AI675" s="2" t="n">
        <v>35.7</v>
      </c>
      <c r="AJ675" s="2" t="n">
        <v>1.5</v>
      </c>
      <c r="AK675" s="2" t="n">
        <v>35</v>
      </c>
      <c r="AL675" s="2" t="n">
        <v>1</v>
      </c>
      <c r="AM675" s="2" t="n">
        <v>2.3</v>
      </c>
      <c r="AN675" s="2" t="n">
        <v>2</v>
      </c>
      <c r="AO675" s="2" t="n">
        <v>0.8</v>
      </c>
      <c r="AP675" s="2" t="n">
        <v>0.4</v>
      </c>
      <c r="AQ675" s="2" t="n">
        <v>0.7</v>
      </c>
      <c r="AR675" s="2" t="n">
        <v>0.1</v>
      </c>
      <c r="AS675" s="2" t="n">
        <v>3.5</v>
      </c>
      <c r="AT675" s="2" t="n">
        <v>0.8</v>
      </c>
      <c r="AU675" s="2" t="n">
        <v>1.6</v>
      </c>
      <c r="AV675" s="2" t="n">
        <v>1.8</v>
      </c>
      <c r="AW675" s="2" t="n">
        <v>1</v>
      </c>
      <c r="AX675" s="2" t="n">
        <v>1</v>
      </c>
      <c r="AY675" s="2"/>
      <c r="AZ675" s="2"/>
      <c r="BA675" s="2"/>
      <c r="BB675" s="2"/>
      <c r="BC675" s="2"/>
      <c r="BD675" s="4" t="s">
        <v>2351</v>
      </c>
    </row>
    <row r="676" customFormat="false" ht="15" hidden="false" customHeight="false" outlineLevel="0" collapsed="false">
      <c r="A676" s="2" t="n">
        <v>754585</v>
      </c>
      <c r="B676" s="2" t="s">
        <v>2352</v>
      </c>
      <c r="C676" s="2" t="s">
        <v>164</v>
      </c>
      <c r="D676" s="2" t="s">
        <v>58</v>
      </c>
      <c r="E676" s="2" t="s">
        <v>2342</v>
      </c>
      <c r="F676" s="2" t="s">
        <v>137</v>
      </c>
      <c r="G676" s="2"/>
      <c r="H676" s="2"/>
      <c r="I676" s="2"/>
      <c r="J676" s="2"/>
      <c r="K676" s="2"/>
      <c r="L676" s="2" t="s">
        <v>2353</v>
      </c>
      <c r="M676" s="2"/>
      <c r="N676" s="3"/>
      <c r="O676" s="2"/>
      <c r="P676" s="2" t="n">
        <v>6</v>
      </c>
      <c r="Q676" s="3" t="n">
        <v>201</v>
      </c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 t="n">
        <v>1</v>
      </c>
      <c r="AC676" s="2" t="n">
        <v>4</v>
      </c>
      <c r="AD676" s="2" t="n">
        <v>1.8</v>
      </c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4" t="s">
        <v>2354</v>
      </c>
    </row>
    <row r="677" customFormat="false" ht="15" hidden="false" customHeight="false" outlineLevel="0" collapsed="false">
      <c r="A677" s="2" t="n">
        <v>1637900</v>
      </c>
      <c r="B677" s="2" t="s">
        <v>2355</v>
      </c>
      <c r="C677" s="2" t="s">
        <v>249</v>
      </c>
      <c r="D677" s="2" t="s">
        <v>58</v>
      </c>
      <c r="E677" s="2" t="s">
        <v>2342</v>
      </c>
      <c r="F677" s="2" t="s">
        <v>102</v>
      </c>
      <c r="G677" s="2"/>
      <c r="H677" s="2"/>
      <c r="I677" s="2"/>
      <c r="J677" s="2"/>
      <c r="K677" s="2"/>
      <c r="L677" s="2" t="s">
        <v>2353</v>
      </c>
      <c r="M677" s="2"/>
      <c r="N677" s="3"/>
      <c r="O677" s="2"/>
      <c r="P677" s="2" t="n">
        <v>1</v>
      </c>
      <c r="Q677" s="3" t="n">
        <v>5</v>
      </c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4" t="s">
        <v>2356</v>
      </c>
    </row>
    <row r="678" customFormat="false" ht="15" hidden="false" customHeight="false" outlineLevel="0" collapsed="false">
      <c r="A678" s="2" t="n">
        <v>1780441</v>
      </c>
      <c r="B678" s="2" t="s">
        <v>2357</v>
      </c>
      <c r="C678" s="2" t="s">
        <v>340</v>
      </c>
      <c r="D678" s="2" t="s">
        <v>341</v>
      </c>
      <c r="E678" s="2" t="s">
        <v>2342</v>
      </c>
      <c r="F678" s="2" t="s">
        <v>70</v>
      </c>
      <c r="G678" s="2"/>
      <c r="H678" s="2"/>
      <c r="I678" s="2"/>
      <c r="J678" s="2"/>
      <c r="K678" s="2"/>
      <c r="L678" s="2" t="s">
        <v>67</v>
      </c>
      <c r="M678" s="2"/>
      <c r="N678" s="3"/>
      <c r="O678" s="2"/>
      <c r="P678" s="2" t="n">
        <v>1</v>
      </c>
      <c r="Q678" s="3" t="n">
        <v>8</v>
      </c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4" t="s">
        <v>2358</v>
      </c>
    </row>
    <row r="679" customFormat="false" ht="15" hidden="false" customHeight="false" outlineLevel="0" collapsed="false">
      <c r="A679" s="2" t="n">
        <v>1439929</v>
      </c>
      <c r="B679" s="2" t="s">
        <v>2359</v>
      </c>
      <c r="C679" s="2" t="s">
        <v>340</v>
      </c>
      <c r="D679" s="2" t="s">
        <v>341</v>
      </c>
      <c r="E679" s="2" t="s">
        <v>2342</v>
      </c>
      <c r="F679" s="2" t="s">
        <v>102</v>
      </c>
      <c r="G679" s="2"/>
      <c r="H679" s="2"/>
      <c r="I679" s="2"/>
      <c r="J679" s="2"/>
      <c r="K679" s="2"/>
      <c r="L679" s="2" t="s">
        <v>2353</v>
      </c>
      <c r="M679" s="2"/>
      <c r="N679" s="3"/>
      <c r="O679" s="2"/>
      <c r="P679" s="2" t="n">
        <v>8</v>
      </c>
      <c r="Q679" s="3" t="n">
        <v>273</v>
      </c>
      <c r="R679" s="2"/>
      <c r="S679" s="2"/>
      <c r="T679" s="2" t="n">
        <v>1</v>
      </c>
      <c r="U679" s="2" t="n">
        <v>0</v>
      </c>
      <c r="V679" s="2"/>
      <c r="W679" s="2"/>
      <c r="X679" s="2"/>
      <c r="Y679" s="2"/>
      <c r="Z679" s="2"/>
      <c r="AA679" s="2"/>
      <c r="AB679" s="2" t="n">
        <v>2</v>
      </c>
      <c r="AC679" s="2" t="n">
        <v>6</v>
      </c>
      <c r="AD679" s="2" t="n">
        <v>2</v>
      </c>
      <c r="AE679" s="2" t="n">
        <v>1</v>
      </c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4" t="s">
        <v>2360</v>
      </c>
    </row>
    <row r="680" customFormat="false" ht="15" hidden="false" customHeight="false" outlineLevel="0" collapsed="false">
      <c r="A680" s="2" t="n">
        <v>1346905</v>
      </c>
      <c r="B680" s="2" t="s">
        <v>2361</v>
      </c>
      <c r="C680" s="2" t="s">
        <v>644</v>
      </c>
      <c r="D680" s="2" t="s">
        <v>341</v>
      </c>
      <c r="E680" s="2" t="s">
        <v>2342</v>
      </c>
      <c r="F680" s="2" t="s">
        <v>137</v>
      </c>
      <c r="G680" s="2"/>
      <c r="H680" s="2"/>
      <c r="I680" s="2"/>
      <c r="J680" s="2"/>
      <c r="K680" s="2"/>
      <c r="L680" s="2" t="s">
        <v>2362</v>
      </c>
      <c r="M680" s="2"/>
      <c r="N680" s="3"/>
      <c r="O680" s="2"/>
      <c r="P680" s="2" t="n">
        <v>8</v>
      </c>
      <c r="Q680" s="3" t="n">
        <v>243</v>
      </c>
      <c r="R680" s="2"/>
      <c r="S680" s="2"/>
      <c r="T680" s="2" t="n">
        <v>1</v>
      </c>
      <c r="U680" s="2" t="n">
        <v>0</v>
      </c>
      <c r="V680" s="2"/>
      <c r="W680" s="2"/>
      <c r="X680" s="2"/>
      <c r="Y680" s="2"/>
      <c r="Z680" s="2"/>
      <c r="AA680" s="2"/>
      <c r="AB680" s="2" t="n">
        <v>1</v>
      </c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 t="n">
        <v>1</v>
      </c>
      <c r="AX680" s="2"/>
      <c r="AY680" s="2"/>
      <c r="AZ680" s="2"/>
      <c r="BA680" s="2"/>
      <c r="BB680" s="2"/>
      <c r="BC680" s="2"/>
      <c r="BD680" s="4" t="s">
        <v>2363</v>
      </c>
    </row>
    <row r="681" customFormat="false" ht="15" hidden="false" customHeight="false" outlineLevel="0" collapsed="false">
      <c r="A681" s="2" t="n">
        <v>1413144</v>
      </c>
      <c r="B681" s="2" t="s">
        <v>2364</v>
      </c>
      <c r="C681" s="2" t="s">
        <v>746</v>
      </c>
      <c r="D681" s="2" t="s">
        <v>58</v>
      </c>
      <c r="E681" s="2" t="s">
        <v>2342</v>
      </c>
      <c r="F681" s="2" t="s">
        <v>102</v>
      </c>
      <c r="G681" s="2"/>
      <c r="H681" s="2"/>
      <c r="I681" s="2"/>
      <c r="J681" s="2"/>
      <c r="K681" s="2"/>
      <c r="L681" s="2" t="s">
        <v>67</v>
      </c>
      <c r="M681" s="2"/>
      <c r="N681" s="3"/>
      <c r="O681" s="2"/>
      <c r="P681" s="2" t="n">
        <v>15</v>
      </c>
      <c r="Q681" s="3" t="n">
        <v>499</v>
      </c>
      <c r="R681" s="2" t="n">
        <v>6.33</v>
      </c>
      <c r="S681" s="2" t="n">
        <v>0</v>
      </c>
      <c r="T681" s="2"/>
      <c r="U681" s="2"/>
      <c r="V681" s="2"/>
      <c r="W681" s="2"/>
      <c r="X681" s="2"/>
      <c r="Y681" s="2" t="n">
        <v>2</v>
      </c>
      <c r="Z681" s="2" t="n">
        <v>0.5</v>
      </c>
      <c r="AA681" s="2" t="n">
        <v>0</v>
      </c>
      <c r="AB681" s="2"/>
      <c r="AC681" s="2" t="n">
        <v>8</v>
      </c>
      <c r="AD681" s="2" t="n">
        <v>1.4</v>
      </c>
      <c r="AE681" s="2" t="n">
        <v>1</v>
      </c>
      <c r="AF681" s="2" t="n">
        <v>27.8</v>
      </c>
      <c r="AG681" s="2" t="n">
        <v>75.1</v>
      </c>
      <c r="AH681" s="2" t="n">
        <v>2.3</v>
      </c>
      <c r="AI681" s="2" t="n">
        <v>41.9</v>
      </c>
      <c r="AJ681" s="2" t="n">
        <v>0.2</v>
      </c>
      <c r="AK681" s="2" t="n">
        <v>20</v>
      </c>
      <c r="AL681" s="2"/>
      <c r="AM681" s="2"/>
      <c r="AN681" s="2" t="n">
        <v>5.1</v>
      </c>
      <c r="AO681" s="2" t="n">
        <v>2.9</v>
      </c>
      <c r="AP681" s="2" t="n">
        <v>0.9</v>
      </c>
      <c r="AQ681" s="2" t="n">
        <v>0.5</v>
      </c>
      <c r="AR681" s="2" t="n">
        <v>0.7</v>
      </c>
      <c r="AS681" s="2" t="n">
        <v>4.9</v>
      </c>
      <c r="AT681" s="2" t="n">
        <v>0.4</v>
      </c>
      <c r="AU681" s="2" t="n">
        <v>2.7</v>
      </c>
      <c r="AV681" s="2" t="n">
        <v>1.1</v>
      </c>
      <c r="AW681" s="2" t="n">
        <v>1</v>
      </c>
      <c r="AX681" s="2"/>
      <c r="AY681" s="2"/>
      <c r="AZ681" s="2"/>
      <c r="BA681" s="2"/>
      <c r="BB681" s="2"/>
      <c r="BC681" s="2"/>
      <c r="BD681" s="4" t="s">
        <v>2365</v>
      </c>
    </row>
    <row r="682" customFormat="false" ht="15" hidden="false" customHeight="false" outlineLevel="0" collapsed="false">
      <c r="A682" s="2" t="n">
        <v>1615795</v>
      </c>
      <c r="B682" s="2" t="s">
        <v>2366</v>
      </c>
      <c r="C682" s="2" t="s">
        <v>843</v>
      </c>
      <c r="D682" s="2" t="s">
        <v>58</v>
      </c>
      <c r="E682" s="2" t="s">
        <v>2342</v>
      </c>
      <c r="F682" s="2" t="s">
        <v>70</v>
      </c>
      <c r="G682" s="2"/>
      <c r="H682" s="2"/>
      <c r="I682" s="2"/>
      <c r="J682" s="2"/>
      <c r="K682" s="2"/>
      <c r="L682" s="2" t="s">
        <v>67</v>
      </c>
      <c r="M682" s="2"/>
      <c r="N682" s="3"/>
      <c r="O682" s="2"/>
      <c r="P682" s="2" t="n">
        <v>12</v>
      </c>
      <c r="Q682" s="3" t="n">
        <v>872</v>
      </c>
      <c r="R682" s="2"/>
      <c r="S682" s="2"/>
      <c r="T682" s="2"/>
      <c r="U682" s="2"/>
      <c r="V682" s="2" t="n">
        <v>1</v>
      </c>
      <c r="W682" s="2"/>
      <c r="X682" s="2"/>
      <c r="Y682" s="2"/>
      <c r="Z682" s="2"/>
      <c r="AA682" s="2"/>
      <c r="AB682" s="2" t="n">
        <v>1</v>
      </c>
      <c r="AC682" s="2" t="n">
        <v>5</v>
      </c>
      <c r="AD682" s="2" t="n">
        <v>0.5</v>
      </c>
      <c r="AE682" s="2" t="n">
        <v>3</v>
      </c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 t="n">
        <v>3</v>
      </c>
      <c r="AX682" s="2"/>
      <c r="AY682" s="2"/>
      <c r="AZ682" s="2"/>
      <c r="BA682" s="2"/>
      <c r="BB682" s="2"/>
      <c r="BC682" s="2"/>
      <c r="BD682" s="4" t="s">
        <v>2367</v>
      </c>
    </row>
    <row r="683" customFormat="false" ht="15" hidden="false" customHeight="false" outlineLevel="0" collapsed="false">
      <c r="A683" s="2" t="n">
        <v>1455815</v>
      </c>
      <c r="B683" s="2" t="s">
        <v>2368</v>
      </c>
      <c r="C683" s="2" t="s">
        <v>843</v>
      </c>
      <c r="D683" s="2" t="s">
        <v>58</v>
      </c>
      <c r="E683" s="2" t="s">
        <v>2342</v>
      </c>
      <c r="F683" s="2" t="s">
        <v>70</v>
      </c>
      <c r="G683" s="2"/>
      <c r="H683" s="2"/>
      <c r="I683" s="2"/>
      <c r="J683" s="2"/>
      <c r="K683" s="2"/>
      <c r="L683" s="2" t="s">
        <v>67</v>
      </c>
      <c r="M683" s="2"/>
      <c r="N683" s="3"/>
      <c r="O683" s="2"/>
      <c r="P683" s="2" t="n">
        <v>1</v>
      </c>
      <c r="Q683" s="3" t="n">
        <v>19</v>
      </c>
      <c r="R683" s="2"/>
      <c r="S683" s="2"/>
      <c r="T683" s="2"/>
      <c r="U683" s="2"/>
      <c r="V683" s="2" t="n">
        <v>1</v>
      </c>
      <c r="W683" s="2"/>
      <c r="X683" s="2"/>
      <c r="Y683" s="2"/>
      <c r="Z683" s="2"/>
      <c r="AA683" s="2"/>
      <c r="AB683" s="2"/>
      <c r="AC683" s="2" t="n">
        <v>1</v>
      </c>
      <c r="AD683" s="2" t="n">
        <v>4.7</v>
      </c>
      <c r="AE683" s="2" t="n">
        <v>1</v>
      </c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4" t="s">
        <v>2369</v>
      </c>
    </row>
    <row r="684" customFormat="false" ht="15" hidden="false" customHeight="false" outlineLevel="0" collapsed="false">
      <c r="A684" s="2" t="n">
        <v>1615718</v>
      </c>
      <c r="B684" s="2" t="s">
        <v>2370</v>
      </c>
      <c r="C684" s="2" t="s">
        <v>923</v>
      </c>
      <c r="D684" s="2" t="s">
        <v>341</v>
      </c>
      <c r="E684" s="2" t="s">
        <v>2342</v>
      </c>
      <c r="F684" s="2" t="s">
        <v>60</v>
      </c>
      <c r="G684" s="2"/>
      <c r="H684" s="2"/>
      <c r="I684" s="2"/>
      <c r="J684" s="2"/>
      <c r="K684" s="2"/>
      <c r="L684" s="2" t="s">
        <v>67</v>
      </c>
      <c r="M684" s="2"/>
      <c r="N684" s="3"/>
      <c r="O684" s="2"/>
      <c r="P684" s="2" t="n">
        <v>6</v>
      </c>
      <c r="Q684" s="3" t="n">
        <v>540</v>
      </c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 t="n">
        <v>1</v>
      </c>
      <c r="AZ684" s="2" t="n">
        <v>1</v>
      </c>
      <c r="BA684" s="2"/>
      <c r="BB684" s="2"/>
      <c r="BC684" s="2"/>
      <c r="BD684" s="4" t="s">
        <v>2371</v>
      </c>
    </row>
    <row r="685" customFormat="false" ht="15" hidden="false" customHeight="false" outlineLevel="0" collapsed="false">
      <c r="A685" s="2" t="n">
        <v>729507</v>
      </c>
      <c r="B685" s="2" t="s">
        <v>2372</v>
      </c>
      <c r="C685" s="2" t="s">
        <v>923</v>
      </c>
      <c r="D685" s="2" t="s">
        <v>341</v>
      </c>
      <c r="E685" s="2" t="s">
        <v>2342</v>
      </c>
      <c r="F685" s="2" t="s">
        <v>60</v>
      </c>
      <c r="G685" s="2"/>
      <c r="H685" s="2"/>
      <c r="I685" s="2"/>
      <c r="J685" s="2"/>
      <c r="K685" s="2"/>
      <c r="L685" s="2" t="s">
        <v>67</v>
      </c>
      <c r="M685" s="2"/>
      <c r="N685" s="3"/>
      <c r="O685" s="2"/>
      <c r="P685" s="2" t="n">
        <v>4</v>
      </c>
      <c r="Q685" s="3" t="n">
        <v>360</v>
      </c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 t="n">
        <v>2</v>
      </c>
      <c r="BA685" s="2"/>
      <c r="BB685" s="2"/>
      <c r="BC685" s="2"/>
      <c r="BD685" s="4" t="s">
        <v>2373</v>
      </c>
    </row>
    <row r="686" customFormat="false" ht="15" hidden="false" customHeight="false" outlineLevel="0" collapsed="false">
      <c r="A686" s="2" t="n">
        <v>1234692</v>
      </c>
      <c r="B686" s="2" t="s">
        <v>2374</v>
      </c>
      <c r="C686" s="2" t="s">
        <v>923</v>
      </c>
      <c r="D686" s="2" t="s">
        <v>341</v>
      </c>
      <c r="E686" s="2" t="s">
        <v>2342</v>
      </c>
      <c r="F686" s="2" t="s">
        <v>70</v>
      </c>
      <c r="G686" s="2"/>
      <c r="H686" s="2"/>
      <c r="I686" s="2"/>
      <c r="J686" s="2"/>
      <c r="K686" s="2"/>
      <c r="L686" s="2" t="s">
        <v>2375</v>
      </c>
      <c r="M686" s="2"/>
      <c r="N686" s="3"/>
      <c r="O686" s="2"/>
      <c r="P686" s="2" t="n">
        <v>4</v>
      </c>
      <c r="Q686" s="3" t="n">
        <v>192</v>
      </c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 t="n">
        <v>1</v>
      </c>
      <c r="AD686" s="2" t="n">
        <v>0.5</v>
      </c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4" t="s">
        <v>2376</v>
      </c>
    </row>
    <row r="687" customFormat="false" ht="15" hidden="false" customHeight="false" outlineLevel="0" collapsed="false">
      <c r="A687" s="2" t="n">
        <v>924442</v>
      </c>
      <c r="B687" s="2" t="s">
        <v>2377</v>
      </c>
      <c r="C687" s="2" t="s">
        <v>923</v>
      </c>
      <c r="D687" s="2" t="s">
        <v>341</v>
      </c>
      <c r="E687" s="2" t="s">
        <v>2342</v>
      </c>
      <c r="F687" s="2" t="s">
        <v>102</v>
      </c>
      <c r="G687" s="2"/>
      <c r="H687" s="2"/>
      <c r="I687" s="2"/>
      <c r="J687" s="2"/>
      <c r="K687" s="2"/>
      <c r="L687" s="2" t="s">
        <v>2378</v>
      </c>
      <c r="M687" s="2"/>
      <c r="N687" s="3"/>
      <c r="O687" s="2"/>
      <c r="P687" s="2" t="n">
        <v>2</v>
      </c>
      <c r="Q687" s="3" t="n">
        <v>124</v>
      </c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4" t="s">
        <v>2379</v>
      </c>
    </row>
    <row r="688" customFormat="false" ht="15" hidden="false" customHeight="false" outlineLevel="0" collapsed="false">
      <c r="A688" s="2" t="n">
        <v>1082236</v>
      </c>
      <c r="B688" s="2" t="s">
        <v>2380</v>
      </c>
      <c r="C688" s="2" t="s">
        <v>923</v>
      </c>
      <c r="D688" s="2" t="s">
        <v>341</v>
      </c>
      <c r="E688" s="2" t="s">
        <v>2342</v>
      </c>
      <c r="F688" s="2" t="s">
        <v>102</v>
      </c>
      <c r="G688" s="2"/>
      <c r="H688" s="2"/>
      <c r="I688" s="2"/>
      <c r="J688" s="2"/>
      <c r="K688" s="2"/>
      <c r="L688" s="2" t="s">
        <v>67</v>
      </c>
      <c r="M688" s="2"/>
      <c r="N688" s="3"/>
      <c r="O688" s="2"/>
      <c r="P688" s="2" t="n">
        <v>2</v>
      </c>
      <c r="Q688" s="3" t="n">
        <v>9</v>
      </c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4" t="s">
        <v>2381</v>
      </c>
    </row>
    <row r="689" customFormat="false" ht="15" hidden="false" customHeight="false" outlineLevel="0" collapsed="false">
      <c r="A689" s="2" t="n">
        <v>1393570</v>
      </c>
      <c r="B689" s="2" t="s">
        <v>2382</v>
      </c>
      <c r="C689" s="2" t="s">
        <v>923</v>
      </c>
      <c r="D689" s="2" t="s">
        <v>341</v>
      </c>
      <c r="E689" s="2" t="s">
        <v>2342</v>
      </c>
      <c r="F689" s="2" t="s">
        <v>137</v>
      </c>
      <c r="G689" s="2"/>
      <c r="H689" s="2"/>
      <c r="I689" s="2"/>
      <c r="J689" s="2"/>
      <c r="K689" s="2"/>
      <c r="L689" s="2" t="s">
        <v>67</v>
      </c>
      <c r="M689" s="2"/>
      <c r="N689" s="3"/>
      <c r="O689" s="2"/>
      <c r="P689" s="2" t="n">
        <v>8</v>
      </c>
      <c r="Q689" s="3" t="n">
        <v>149</v>
      </c>
      <c r="R689" s="2"/>
      <c r="S689" s="2"/>
      <c r="T689" s="2" t="n">
        <v>1</v>
      </c>
      <c r="U689" s="2" t="n">
        <v>0</v>
      </c>
      <c r="V689" s="2" t="n">
        <v>1</v>
      </c>
      <c r="W689" s="2"/>
      <c r="X689" s="2"/>
      <c r="Y689" s="2"/>
      <c r="Z689" s="2"/>
      <c r="AA689" s="2"/>
      <c r="AB689" s="2"/>
      <c r="AC689" s="2" t="n">
        <v>2</v>
      </c>
      <c r="AD689" s="2" t="n">
        <v>1.2</v>
      </c>
      <c r="AE689" s="2" t="n">
        <v>1</v>
      </c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4" t="s">
        <v>2383</v>
      </c>
    </row>
    <row r="690" customFormat="false" ht="15" hidden="false" customHeight="false" outlineLevel="0" collapsed="false">
      <c r="A690" s="2" t="n">
        <v>825584</v>
      </c>
      <c r="B690" s="2" t="s">
        <v>2384</v>
      </c>
      <c r="C690" s="2" t="s">
        <v>998</v>
      </c>
      <c r="D690" s="2" t="s">
        <v>341</v>
      </c>
      <c r="E690" s="2" t="s">
        <v>2342</v>
      </c>
      <c r="F690" s="2" t="s">
        <v>102</v>
      </c>
      <c r="G690" s="2"/>
      <c r="H690" s="2"/>
      <c r="I690" s="2"/>
      <c r="J690" s="2"/>
      <c r="K690" s="2"/>
      <c r="L690" s="2" t="s">
        <v>2385</v>
      </c>
      <c r="M690" s="2"/>
      <c r="N690" s="3"/>
      <c r="O690" s="2"/>
      <c r="P690" s="2" t="n">
        <v>5</v>
      </c>
      <c r="Q690" s="3" t="n">
        <v>220</v>
      </c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 t="n">
        <v>2</v>
      </c>
      <c r="AD690" s="2" t="n">
        <v>0.8</v>
      </c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 t="n">
        <v>1</v>
      </c>
      <c r="AX690" s="2"/>
      <c r="AY690" s="2"/>
      <c r="AZ690" s="2"/>
      <c r="BA690" s="2"/>
      <c r="BB690" s="2"/>
      <c r="BC690" s="2"/>
      <c r="BD690" s="4" t="s">
        <v>2386</v>
      </c>
    </row>
    <row r="691" customFormat="false" ht="15" hidden="false" customHeight="false" outlineLevel="0" collapsed="false">
      <c r="A691" s="2" t="n">
        <v>1610216</v>
      </c>
      <c r="B691" s="2" t="s">
        <v>2387</v>
      </c>
      <c r="C691" s="2" t="s">
        <v>1087</v>
      </c>
      <c r="D691" s="2" t="s">
        <v>58</v>
      </c>
      <c r="E691" s="2" t="s">
        <v>2342</v>
      </c>
      <c r="F691" s="2" t="s">
        <v>60</v>
      </c>
      <c r="G691" s="2"/>
      <c r="H691" s="2"/>
      <c r="I691" s="2"/>
      <c r="J691" s="2"/>
      <c r="K691" s="2"/>
      <c r="L691" s="2" t="s">
        <v>67</v>
      </c>
      <c r="M691" s="2"/>
      <c r="N691" s="3"/>
      <c r="O691" s="2"/>
      <c r="P691" s="2" t="n">
        <v>7</v>
      </c>
      <c r="Q691" s="3" t="n">
        <v>630</v>
      </c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 t="n">
        <v>1</v>
      </c>
      <c r="AX691" s="2"/>
      <c r="AY691" s="2"/>
      <c r="AZ691" s="2" t="n">
        <v>3</v>
      </c>
      <c r="BA691" s="2"/>
      <c r="BB691" s="2"/>
      <c r="BC691" s="2"/>
      <c r="BD691" s="4" t="s">
        <v>2388</v>
      </c>
    </row>
    <row r="692" customFormat="false" ht="15" hidden="false" customHeight="false" outlineLevel="0" collapsed="false">
      <c r="A692" s="2" t="n">
        <v>907869</v>
      </c>
      <c r="B692" s="2" t="s">
        <v>2389</v>
      </c>
      <c r="C692" s="2" t="s">
        <v>1087</v>
      </c>
      <c r="D692" s="2" t="s">
        <v>58</v>
      </c>
      <c r="E692" s="2" t="s">
        <v>2342</v>
      </c>
      <c r="F692" s="2" t="s">
        <v>102</v>
      </c>
      <c r="G692" s="2"/>
      <c r="H692" s="2"/>
      <c r="I692" s="2"/>
      <c r="J692" s="2"/>
      <c r="K692" s="2"/>
      <c r="L692" s="2" t="s">
        <v>2390</v>
      </c>
      <c r="M692" s="2"/>
      <c r="N692" s="3"/>
      <c r="O692" s="2"/>
      <c r="P692" s="2" t="n">
        <v>11</v>
      </c>
      <c r="Q692" s="3" t="n">
        <v>490</v>
      </c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 t="n">
        <v>1</v>
      </c>
      <c r="AC692" s="2" t="n">
        <v>11</v>
      </c>
      <c r="AD692" s="2" t="n">
        <v>2</v>
      </c>
      <c r="AE692" s="2" t="n">
        <v>1</v>
      </c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 t="n">
        <v>3</v>
      </c>
      <c r="AX692" s="2"/>
      <c r="AY692" s="2"/>
      <c r="AZ692" s="2"/>
      <c r="BA692" s="2"/>
      <c r="BB692" s="2"/>
      <c r="BC692" s="2"/>
      <c r="BD692" s="4" t="s">
        <v>2391</v>
      </c>
    </row>
    <row r="693" customFormat="false" ht="15" hidden="false" customHeight="false" outlineLevel="0" collapsed="false">
      <c r="A693" s="2" t="n">
        <v>1195273</v>
      </c>
      <c r="B693" s="2" t="s">
        <v>2392</v>
      </c>
      <c r="C693" s="2" t="s">
        <v>1087</v>
      </c>
      <c r="D693" s="2" t="s">
        <v>58</v>
      </c>
      <c r="E693" s="2" t="s">
        <v>2342</v>
      </c>
      <c r="F693" s="2" t="s">
        <v>137</v>
      </c>
      <c r="G693" s="2"/>
      <c r="H693" s="2"/>
      <c r="I693" s="2"/>
      <c r="J693" s="2"/>
      <c r="K693" s="2"/>
      <c r="L693" s="2" t="s">
        <v>2393</v>
      </c>
      <c r="M693" s="2"/>
      <c r="N693" s="3"/>
      <c r="O693" s="2"/>
      <c r="P693" s="2" t="n">
        <v>16</v>
      </c>
      <c r="Q693" s="3" t="n">
        <v>1416</v>
      </c>
      <c r="R693" s="2" t="n">
        <v>7.3</v>
      </c>
      <c r="S693" s="2" t="n">
        <v>2</v>
      </c>
      <c r="T693" s="2" t="n">
        <v>8</v>
      </c>
      <c r="U693" s="2" t="n">
        <v>0</v>
      </c>
      <c r="V693" s="2" t="n">
        <v>2</v>
      </c>
      <c r="W693" s="2"/>
      <c r="X693" s="2" t="n">
        <v>0.51</v>
      </c>
      <c r="Y693" s="2" t="n">
        <v>2.9</v>
      </c>
      <c r="Z693" s="2" t="n">
        <v>1.3</v>
      </c>
      <c r="AA693" s="2" t="n">
        <v>17.4</v>
      </c>
      <c r="AB693" s="2" t="n">
        <v>8</v>
      </c>
      <c r="AC693" s="2" t="n">
        <v>23</v>
      </c>
      <c r="AD693" s="2" t="n">
        <v>1.5</v>
      </c>
      <c r="AE693" s="2" t="n">
        <v>5</v>
      </c>
      <c r="AF693" s="2" t="n">
        <v>14.6</v>
      </c>
      <c r="AG693" s="2" t="n">
        <v>76.2</v>
      </c>
      <c r="AH693" s="2" t="n">
        <v>0.8</v>
      </c>
      <c r="AI693" s="2" t="n">
        <v>80</v>
      </c>
      <c r="AJ693" s="2" t="n">
        <v>0.6</v>
      </c>
      <c r="AK693" s="2" t="n">
        <v>56.3</v>
      </c>
      <c r="AL693" s="2"/>
      <c r="AM693" s="2"/>
      <c r="AN693" s="2" t="n">
        <v>1.6</v>
      </c>
      <c r="AO693" s="2" t="n">
        <v>0.4</v>
      </c>
      <c r="AP693" s="2" t="n">
        <v>0.1</v>
      </c>
      <c r="AQ693" s="2" t="n">
        <v>1.1</v>
      </c>
      <c r="AR693" s="2"/>
      <c r="AS693" s="2" t="n">
        <v>1.2</v>
      </c>
      <c r="AT693" s="2" t="n">
        <v>0.4</v>
      </c>
      <c r="AU693" s="2" t="n">
        <v>0.6</v>
      </c>
      <c r="AV693" s="2" t="n">
        <v>0.7</v>
      </c>
      <c r="AW693" s="2" t="n">
        <v>1</v>
      </c>
      <c r="AX693" s="2"/>
      <c r="AY693" s="2"/>
      <c r="AZ693" s="2"/>
      <c r="BA693" s="2"/>
      <c r="BB693" s="2"/>
      <c r="BC693" s="2"/>
      <c r="BD693" s="4" t="s">
        <v>2394</v>
      </c>
    </row>
    <row r="694" customFormat="false" ht="15" hidden="false" customHeight="false" outlineLevel="0" collapsed="false">
      <c r="A694" s="2" t="n">
        <v>1727114</v>
      </c>
      <c r="B694" s="2" t="s">
        <v>2395</v>
      </c>
      <c r="C694" s="2" t="s">
        <v>1267</v>
      </c>
      <c r="D694" s="2" t="s">
        <v>58</v>
      </c>
      <c r="E694" s="2" t="s">
        <v>2342</v>
      </c>
      <c r="F694" s="2" t="s">
        <v>70</v>
      </c>
      <c r="G694" s="2"/>
      <c r="H694" s="2"/>
      <c r="I694" s="2"/>
      <c r="J694" s="2"/>
      <c r="K694" s="2"/>
      <c r="L694" s="2" t="s">
        <v>2396</v>
      </c>
      <c r="M694" s="2"/>
      <c r="N694" s="3"/>
      <c r="O694" s="2"/>
      <c r="P694" s="2" t="n">
        <v>10</v>
      </c>
      <c r="Q694" s="3" t="n">
        <v>226</v>
      </c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 t="n">
        <v>2</v>
      </c>
      <c r="AD694" s="2" t="n">
        <v>0.8</v>
      </c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4" t="s">
        <v>2397</v>
      </c>
    </row>
    <row r="695" customFormat="false" ht="15" hidden="false" customHeight="false" outlineLevel="0" collapsed="false">
      <c r="A695" s="2" t="n">
        <v>1082123</v>
      </c>
      <c r="B695" s="2" t="s">
        <v>2398</v>
      </c>
      <c r="C695" s="2" t="s">
        <v>1267</v>
      </c>
      <c r="D695" s="2" t="s">
        <v>58</v>
      </c>
      <c r="E695" s="2" t="s">
        <v>2342</v>
      </c>
      <c r="F695" s="2" t="s">
        <v>70</v>
      </c>
      <c r="G695" s="2"/>
      <c r="H695" s="2"/>
      <c r="I695" s="2"/>
      <c r="J695" s="2"/>
      <c r="K695" s="2"/>
      <c r="L695" s="2" t="s">
        <v>67</v>
      </c>
      <c r="M695" s="2"/>
      <c r="N695" s="3"/>
      <c r="O695" s="2"/>
      <c r="P695" s="2" t="n">
        <v>3</v>
      </c>
      <c r="Q695" s="3" t="n">
        <v>163</v>
      </c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 t="n">
        <v>1</v>
      </c>
      <c r="AD695" s="2" t="n">
        <v>0.6</v>
      </c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 t="n">
        <v>1</v>
      </c>
      <c r="AZ695" s="2"/>
      <c r="BA695" s="2"/>
      <c r="BB695" s="2"/>
      <c r="BC695" s="2"/>
      <c r="BD695" s="4" t="s">
        <v>2399</v>
      </c>
    </row>
    <row r="696" customFormat="false" ht="15" hidden="false" customHeight="false" outlineLevel="0" collapsed="false">
      <c r="A696" s="2" t="n">
        <v>1791432</v>
      </c>
      <c r="B696" s="2" t="s">
        <v>2400</v>
      </c>
      <c r="C696" s="2" t="s">
        <v>1267</v>
      </c>
      <c r="D696" s="2" t="s">
        <v>58</v>
      </c>
      <c r="E696" s="2" t="s">
        <v>2342</v>
      </c>
      <c r="F696" s="2" t="s">
        <v>70</v>
      </c>
      <c r="G696" s="2"/>
      <c r="H696" s="2"/>
      <c r="I696" s="2"/>
      <c r="J696" s="2"/>
      <c r="K696" s="2"/>
      <c r="L696" s="2" t="s">
        <v>67</v>
      </c>
      <c r="M696" s="2"/>
      <c r="N696" s="3"/>
      <c r="O696" s="2"/>
      <c r="P696" s="2" t="n">
        <v>3</v>
      </c>
      <c r="Q696" s="3" t="n">
        <v>41</v>
      </c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4" t="s">
        <v>2401</v>
      </c>
    </row>
    <row r="697" customFormat="false" ht="15" hidden="false" customHeight="false" outlineLevel="0" collapsed="false">
      <c r="A697" s="2" t="n">
        <v>1810538</v>
      </c>
      <c r="B697" s="2" t="s">
        <v>2402</v>
      </c>
      <c r="C697" s="2" t="s">
        <v>1267</v>
      </c>
      <c r="D697" s="2" t="s">
        <v>58</v>
      </c>
      <c r="E697" s="2" t="s">
        <v>2342</v>
      </c>
      <c r="F697" s="2" t="s">
        <v>137</v>
      </c>
      <c r="G697" s="2"/>
      <c r="H697" s="2"/>
      <c r="I697" s="2"/>
      <c r="J697" s="2"/>
      <c r="K697" s="2"/>
      <c r="L697" s="2" t="s">
        <v>2403</v>
      </c>
      <c r="M697" s="2"/>
      <c r="N697" s="3"/>
      <c r="O697" s="2"/>
      <c r="P697" s="2" t="n">
        <v>16</v>
      </c>
      <c r="Q697" s="3" t="n">
        <v>729</v>
      </c>
      <c r="R697" s="2" t="n">
        <v>6.36</v>
      </c>
      <c r="S697" s="2" t="n">
        <v>0</v>
      </c>
      <c r="T697" s="2" t="n">
        <v>3</v>
      </c>
      <c r="U697" s="2" t="n">
        <v>0</v>
      </c>
      <c r="V697" s="2" t="n">
        <v>1</v>
      </c>
      <c r="W697" s="2"/>
      <c r="X697" s="2" t="n">
        <v>0.37</v>
      </c>
      <c r="Y697" s="2" t="n">
        <v>3</v>
      </c>
      <c r="Z697" s="2" t="n">
        <v>1.1</v>
      </c>
      <c r="AA697" s="2" t="n">
        <v>12.5</v>
      </c>
      <c r="AB697" s="2" t="n">
        <v>2</v>
      </c>
      <c r="AC697" s="2" t="n">
        <v>5</v>
      </c>
      <c r="AD697" s="2" t="n">
        <v>0.6</v>
      </c>
      <c r="AE697" s="2" t="n">
        <v>1</v>
      </c>
      <c r="AF697" s="2" t="n">
        <v>9</v>
      </c>
      <c r="AG697" s="2" t="n">
        <v>70.9</v>
      </c>
      <c r="AH697" s="2" t="n">
        <v>0.2</v>
      </c>
      <c r="AI697" s="2" t="n">
        <v>28.6</v>
      </c>
      <c r="AJ697" s="2" t="n">
        <v>1</v>
      </c>
      <c r="AK697" s="2" t="n">
        <v>66.7</v>
      </c>
      <c r="AL697" s="2"/>
      <c r="AM697" s="2"/>
      <c r="AN697" s="2" t="n">
        <v>1</v>
      </c>
      <c r="AO697" s="2" t="n">
        <v>0.6</v>
      </c>
      <c r="AP697" s="2" t="n">
        <v>0.1</v>
      </c>
      <c r="AQ697" s="2" t="n">
        <v>0.2</v>
      </c>
      <c r="AR697" s="2"/>
      <c r="AS697" s="2" t="n">
        <v>2.3</v>
      </c>
      <c r="AT697" s="2" t="n">
        <v>0.5</v>
      </c>
      <c r="AU697" s="2" t="n">
        <v>0.9</v>
      </c>
      <c r="AV697" s="2" t="n">
        <v>2.5</v>
      </c>
      <c r="AW697" s="2" t="n">
        <v>2</v>
      </c>
      <c r="AX697" s="2"/>
      <c r="AY697" s="2"/>
      <c r="AZ697" s="2"/>
      <c r="BA697" s="2"/>
      <c r="BB697" s="2"/>
      <c r="BC697" s="2"/>
      <c r="BD697" s="4" t="s">
        <v>2404</v>
      </c>
    </row>
    <row r="698" customFormat="false" ht="15" hidden="false" customHeight="false" outlineLevel="0" collapsed="false">
      <c r="A698" s="2" t="n">
        <v>1520422</v>
      </c>
      <c r="B698" s="2" t="s">
        <v>2405</v>
      </c>
      <c r="C698" s="2" t="s">
        <v>1358</v>
      </c>
      <c r="D698" s="2" t="s">
        <v>341</v>
      </c>
      <c r="E698" s="2" t="s">
        <v>2342</v>
      </c>
      <c r="F698" s="2" t="s">
        <v>102</v>
      </c>
      <c r="G698" s="2"/>
      <c r="H698" s="2"/>
      <c r="I698" s="2"/>
      <c r="J698" s="2"/>
      <c r="K698" s="2"/>
      <c r="L698" s="2" t="s">
        <v>2406</v>
      </c>
      <c r="M698" s="2"/>
      <c r="N698" s="3"/>
      <c r="O698" s="2"/>
      <c r="P698" s="2" t="n">
        <v>8</v>
      </c>
      <c r="Q698" s="3" t="n">
        <v>494</v>
      </c>
      <c r="R698" s="2"/>
      <c r="S698" s="2"/>
      <c r="T698" s="2" t="n">
        <v>1</v>
      </c>
      <c r="U698" s="2" t="n">
        <v>0</v>
      </c>
      <c r="V698" s="2" t="n">
        <v>1</v>
      </c>
      <c r="W698" s="2"/>
      <c r="X698" s="2"/>
      <c r="Y698" s="2"/>
      <c r="Z698" s="2"/>
      <c r="AA698" s="2"/>
      <c r="AB698" s="2"/>
      <c r="AC698" s="2" t="n">
        <v>9</v>
      </c>
      <c r="AD698" s="2" t="n">
        <v>1.6</v>
      </c>
      <c r="AE698" s="2" t="n">
        <v>1</v>
      </c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 t="n">
        <v>2</v>
      </c>
      <c r="AX698" s="2"/>
      <c r="AY698" s="2" t="n">
        <v>1</v>
      </c>
      <c r="AZ698" s="2"/>
      <c r="BA698" s="2"/>
      <c r="BB698" s="2"/>
      <c r="BC698" s="2"/>
      <c r="BD698" s="4" t="s">
        <v>2407</v>
      </c>
    </row>
    <row r="699" customFormat="false" ht="15" hidden="false" customHeight="false" outlineLevel="0" collapsed="false">
      <c r="A699" s="2" t="n">
        <v>1353588</v>
      </c>
      <c r="B699" s="2" t="s">
        <v>2408</v>
      </c>
      <c r="C699" s="2" t="s">
        <v>1358</v>
      </c>
      <c r="D699" s="2" t="s">
        <v>341</v>
      </c>
      <c r="E699" s="2" t="s">
        <v>2342</v>
      </c>
      <c r="F699" s="2" t="s">
        <v>137</v>
      </c>
      <c r="G699" s="2"/>
      <c r="H699" s="2"/>
      <c r="I699" s="2"/>
      <c r="J699" s="2"/>
      <c r="K699" s="2"/>
      <c r="L699" s="2" t="s">
        <v>2409</v>
      </c>
      <c r="M699" s="2"/>
      <c r="N699" s="3"/>
      <c r="O699" s="2"/>
      <c r="P699" s="2" t="n">
        <v>6</v>
      </c>
      <c r="Q699" s="3" t="n">
        <v>330</v>
      </c>
      <c r="R699" s="2"/>
      <c r="S699" s="2"/>
      <c r="T699" s="2" t="n">
        <v>4</v>
      </c>
      <c r="U699" s="2" t="n">
        <v>1</v>
      </c>
      <c r="V699" s="2" t="n">
        <v>1</v>
      </c>
      <c r="W699" s="2"/>
      <c r="X699" s="2"/>
      <c r="Y699" s="2"/>
      <c r="Z699" s="2"/>
      <c r="AA699" s="2"/>
      <c r="AB699" s="2" t="n">
        <v>2</v>
      </c>
      <c r="AC699" s="2" t="n">
        <v>3</v>
      </c>
      <c r="AD699" s="2" t="n">
        <v>0.8</v>
      </c>
      <c r="AE699" s="2" t="n">
        <v>1</v>
      </c>
      <c r="AF699" s="2"/>
      <c r="AG699" s="2"/>
      <c r="AH699" s="2"/>
      <c r="AI699" s="2"/>
      <c r="AJ699" s="2"/>
      <c r="AK699" s="2"/>
      <c r="AL699" s="2" t="n">
        <v>3</v>
      </c>
      <c r="AM699" s="2" t="n">
        <v>3</v>
      </c>
      <c r="AN699" s="2"/>
      <c r="AO699" s="2"/>
      <c r="AP699" s="2"/>
      <c r="AQ699" s="2"/>
      <c r="AR699" s="2"/>
      <c r="AS699" s="2"/>
      <c r="AT699" s="2"/>
      <c r="AU699" s="2"/>
      <c r="AV699" s="2"/>
      <c r="AW699" s="2" t="n">
        <v>1</v>
      </c>
      <c r="AX699" s="2"/>
      <c r="AY699" s="2"/>
      <c r="AZ699" s="2"/>
      <c r="BA699" s="2"/>
      <c r="BB699" s="2"/>
      <c r="BC699" s="2"/>
      <c r="BD699" s="4" t="s">
        <v>2410</v>
      </c>
    </row>
    <row r="700" customFormat="false" ht="15" hidden="false" customHeight="false" outlineLevel="0" collapsed="false">
      <c r="A700" s="2" t="n">
        <v>1732772</v>
      </c>
      <c r="B700" s="2" t="s">
        <v>2411</v>
      </c>
      <c r="C700" s="2" t="s">
        <v>1358</v>
      </c>
      <c r="D700" s="2" t="s">
        <v>341</v>
      </c>
      <c r="E700" s="2" t="s">
        <v>2342</v>
      </c>
      <c r="F700" s="2" t="s">
        <v>137</v>
      </c>
      <c r="G700" s="2"/>
      <c r="H700" s="2"/>
      <c r="I700" s="2"/>
      <c r="J700" s="2"/>
      <c r="K700" s="2"/>
      <c r="L700" s="2" t="s">
        <v>2412</v>
      </c>
      <c r="M700" s="2"/>
      <c r="N700" s="3"/>
      <c r="O700" s="2"/>
      <c r="P700" s="2" t="n">
        <v>6</v>
      </c>
      <c r="Q700" s="3" t="n">
        <v>323</v>
      </c>
      <c r="R700" s="2"/>
      <c r="S700" s="2"/>
      <c r="T700" s="2" t="n">
        <v>1</v>
      </c>
      <c r="U700" s="2" t="n">
        <v>0</v>
      </c>
      <c r="V700" s="2"/>
      <c r="W700" s="2"/>
      <c r="X700" s="2"/>
      <c r="Y700" s="2"/>
      <c r="Z700" s="2"/>
      <c r="AA700" s="2"/>
      <c r="AB700" s="2" t="n">
        <v>1</v>
      </c>
      <c r="AC700" s="2" t="n">
        <v>3</v>
      </c>
      <c r="AD700" s="2" t="n">
        <v>0.8</v>
      </c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 t="n">
        <v>1</v>
      </c>
      <c r="AX700" s="2"/>
      <c r="AY700" s="2"/>
      <c r="AZ700" s="2"/>
      <c r="BA700" s="2"/>
      <c r="BB700" s="2"/>
      <c r="BC700" s="2"/>
      <c r="BD700" s="4" t="s">
        <v>2413</v>
      </c>
    </row>
    <row r="701" customFormat="false" ht="15" hidden="false" customHeight="false" outlineLevel="0" collapsed="false">
      <c r="A701" s="2" t="n">
        <v>1083230</v>
      </c>
      <c r="B701" s="2" t="s">
        <v>2414</v>
      </c>
      <c r="C701" s="2" t="s">
        <v>1454</v>
      </c>
      <c r="D701" s="2" t="s">
        <v>341</v>
      </c>
      <c r="E701" s="2" t="s">
        <v>2342</v>
      </c>
      <c r="F701" s="2" t="s">
        <v>70</v>
      </c>
      <c r="G701" s="2"/>
      <c r="H701" s="2"/>
      <c r="I701" s="2"/>
      <c r="J701" s="2"/>
      <c r="K701" s="2"/>
      <c r="L701" s="2" t="s">
        <v>67</v>
      </c>
      <c r="M701" s="2"/>
      <c r="N701" s="3"/>
      <c r="O701" s="2"/>
      <c r="P701" s="2" t="n">
        <v>8</v>
      </c>
      <c r="Q701" s="3" t="n">
        <v>320</v>
      </c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 t="n">
        <v>1</v>
      </c>
      <c r="AD701" s="2" t="n">
        <v>0.3</v>
      </c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 t="n">
        <v>1</v>
      </c>
      <c r="AX701" s="2"/>
      <c r="AY701" s="2" t="n">
        <v>1</v>
      </c>
      <c r="AZ701" s="2"/>
      <c r="BA701" s="2"/>
      <c r="BB701" s="2"/>
      <c r="BC701" s="2"/>
      <c r="BD701" s="4" t="s">
        <v>2415</v>
      </c>
    </row>
    <row r="702" customFormat="false" ht="15" hidden="false" customHeight="false" outlineLevel="0" collapsed="false">
      <c r="A702" s="2" t="n">
        <v>1555153</v>
      </c>
      <c r="B702" s="2" t="s">
        <v>2416</v>
      </c>
      <c r="C702" s="2" t="s">
        <v>1454</v>
      </c>
      <c r="D702" s="2" t="s">
        <v>341</v>
      </c>
      <c r="E702" s="2" t="s">
        <v>2342</v>
      </c>
      <c r="F702" s="2" t="s">
        <v>70</v>
      </c>
      <c r="G702" s="2"/>
      <c r="H702" s="2"/>
      <c r="I702" s="2"/>
      <c r="J702" s="2"/>
      <c r="K702" s="2"/>
      <c r="L702" s="2" t="s">
        <v>67</v>
      </c>
      <c r="M702" s="2"/>
      <c r="N702" s="3"/>
      <c r="O702" s="2"/>
      <c r="P702" s="2" t="n">
        <v>2</v>
      </c>
      <c r="Q702" s="3" t="n">
        <v>55</v>
      </c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 t="n">
        <v>1</v>
      </c>
      <c r="AD702" s="2" t="n">
        <v>1.6</v>
      </c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4" t="s">
        <v>2417</v>
      </c>
    </row>
    <row r="703" customFormat="false" ht="15" hidden="false" customHeight="false" outlineLevel="0" collapsed="false">
      <c r="A703" s="2" t="n">
        <v>1919758</v>
      </c>
      <c r="B703" s="2" t="s">
        <v>2418</v>
      </c>
      <c r="C703" s="2" t="s">
        <v>1454</v>
      </c>
      <c r="D703" s="2" t="s">
        <v>341</v>
      </c>
      <c r="E703" s="2" t="s">
        <v>2342</v>
      </c>
      <c r="F703" s="2" t="s">
        <v>102</v>
      </c>
      <c r="G703" s="2"/>
      <c r="H703" s="2"/>
      <c r="I703" s="2"/>
      <c r="J703" s="2"/>
      <c r="K703" s="2"/>
      <c r="L703" s="2" t="s">
        <v>2419</v>
      </c>
      <c r="M703" s="2"/>
      <c r="N703" s="3"/>
      <c r="O703" s="2"/>
      <c r="P703" s="2" t="n">
        <v>12</v>
      </c>
      <c r="Q703" s="3" t="n">
        <v>696</v>
      </c>
      <c r="R703" s="2"/>
      <c r="S703" s="2"/>
      <c r="T703" s="2" t="n">
        <v>2</v>
      </c>
      <c r="U703" s="2" t="n">
        <v>0</v>
      </c>
      <c r="V703" s="2" t="n">
        <v>1</v>
      </c>
      <c r="W703" s="2"/>
      <c r="X703" s="2"/>
      <c r="Y703" s="2"/>
      <c r="Z703" s="2"/>
      <c r="AA703" s="2"/>
      <c r="AB703" s="2" t="n">
        <v>1</v>
      </c>
      <c r="AC703" s="2" t="n">
        <v>6</v>
      </c>
      <c r="AD703" s="2" t="n">
        <v>0.8</v>
      </c>
      <c r="AE703" s="2" t="n">
        <v>1</v>
      </c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 t="n">
        <v>1</v>
      </c>
      <c r="AX703" s="2" t="n">
        <v>1</v>
      </c>
      <c r="AY703" s="2"/>
      <c r="AZ703" s="2"/>
      <c r="BA703" s="2"/>
      <c r="BB703" s="2"/>
      <c r="BC703" s="2"/>
      <c r="BD703" s="4" t="s">
        <v>2420</v>
      </c>
    </row>
    <row r="704" customFormat="false" ht="15" hidden="false" customHeight="false" outlineLevel="0" collapsed="false">
      <c r="A704" s="2" t="n">
        <v>1638338</v>
      </c>
      <c r="B704" s="2" t="s">
        <v>2421</v>
      </c>
      <c r="C704" s="2" t="s">
        <v>1539</v>
      </c>
      <c r="D704" s="2" t="s">
        <v>341</v>
      </c>
      <c r="E704" s="2" t="s">
        <v>2342</v>
      </c>
      <c r="F704" s="2" t="s">
        <v>102</v>
      </c>
      <c r="G704" s="2"/>
      <c r="H704" s="2"/>
      <c r="I704" s="2"/>
      <c r="J704" s="2"/>
      <c r="K704" s="2"/>
      <c r="L704" s="2" t="s">
        <v>67</v>
      </c>
      <c r="M704" s="2"/>
      <c r="N704" s="3"/>
      <c r="O704" s="2"/>
      <c r="P704" s="2" t="n">
        <v>1</v>
      </c>
      <c r="Q704" s="3" t="n">
        <v>17</v>
      </c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4" t="s">
        <v>2422</v>
      </c>
    </row>
    <row r="705" customFormat="false" ht="15" hidden="false" customHeight="false" outlineLevel="0" collapsed="false">
      <c r="A705" s="2" t="n">
        <v>1921668</v>
      </c>
      <c r="B705" s="2" t="s">
        <v>2423</v>
      </c>
      <c r="C705" s="2" t="s">
        <v>1539</v>
      </c>
      <c r="D705" s="2" t="s">
        <v>341</v>
      </c>
      <c r="E705" s="2" t="s">
        <v>2342</v>
      </c>
      <c r="F705" s="2" t="s">
        <v>102</v>
      </c>
      <c r="G705" s="2"/>
      <c r="H705" s="2"/>
      <c r="I705" s="2"/>
      <c r="J705" s="2"/>
      <c r="K705" s="2"/>
      <c r="L705" s="2" t="s">
        <v>67</v>
      </c>
      <c r="M705" s="2"/>
      <c r="N705" s="3"/>
      <c r="O705" s="2"/>
      <c r="P705" s="2" t="n">
        <v>3</v>
      </c>
      <c r="Q705" s="3" t="n">
        <v>6</v>
      </c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4" t="s">
        <v>2424</v>
      </c>
    </row>
    <row r="706" customFormat="false" ht="15" hidden="false" customHeight="false" outlineLevel="0" collapsed="false">
      <c r="A706" s="2" t="n">
        <v>1341114</v>
      </c>
      <c r="B706" s="2" t="s">
        <v>2425</v>
      </c>
      <c r="C706" s="2" t="s">
        <v>1539</v>
      </c>
      <c r="D706" s="2" t="s">
        <v>341</v>
      </c>
      <c r="E706" s="2" t="s">
        <v>2342</v>
      </c>
      <c r="F706" s="2" t="s">
        <v>102</v>
      </c>
      <c r="G706" s="2"/>
      <c r="H706" s="2"/>
      <c r="I706" s="2"/>
      <c r="J706" s="2"/>
      <c r="K706" s="2"/>
      <c r="L706" s="2" t="s">
        <v>67</v>
      </c>
      <c r="M706" s="2"/>
      <c r="N706" s="3"/>
      <c r="O706" s="2"/>
      <c r="P706" s="2" t="n">
        <v>1</v>
      </c>
      <c r="Q706" s="3" t="n">
        <v>4</v>
      </c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4" t="s">
        <v>2426</v>
      </c>
    </row>
    <row r="707" customFormat="false" ht="15" hidden="false" customHeight="false" outlineLevel="0" collapsed="false">
      <c r="A707" s="2" t="n">
        <v>1667774</v>
      </c>
      <c r="B707" s="2" t="s">
        <v>2427</v>
      </c>
      <c r="C707" s="2" t="s">
        <v>1633</v>
      </c>
      <c r="D707" s="2" t="s">
        <v>341</v>
      </c>
      <c r="E707" s="2" t="s">
        <v>2342</v>
      </c>
      <c r="F707" s="2" t="s">
        <v>70</v>
      </c>
      <c r="G707" s="2"/>
      <c r="H707" s="2"/>
      <c r="I707" s="2"/>
      <c r="J707" s="2"/>
      <c r="K707" s="2"/>
      <c r="L707" s="2" t="s">
        <v>67</v>
      </c>
      <c r="M707" s="2"/>
      <c r="N707" s="3"/>
      <c r="O707" s="2"/>
      <c r="P707" s="2" t="n">
        <v>3</v>
      </c>
      <c r="Q707" s="3" t="n">
        <v>41</v>
      </c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 t="n">
        <v>1</v>
      </c>
      <c r="AX707" s="2"/>
      <c r="AY707" s="2"/>
      <c r="AZ707" s="2"/>
      <c r="BA707" s="2"/>
      <c r="BB707" s="2"/>
      <c r="BC707" s="2"/>
      <c r="BD707" s="4" t="s">
        <v>2428</v>
      </c>
    </row>
    <row r="708" customFormat="false" ht="15" hidden="false" customHeight="false" outlineLevel="0" collapsed="false">
      <c r="A708" s="2" t="n">
        <v>1368923</v>
      </c>
      <c r="B708" s="2" t="s">
        <v>2429</v>
      </c>
      <c r="C708" s="2" t="s">
        <v>1633</v>
      </c>
      <c r="D708" s="2" t="s">
        <v>341</v>
      </c>
      <c r="E708" s="2" t="s">
        <v>2342</v>
      </c>
      <c r="F708" s="2" t="s">
        <v>70</v>
      </c>
      <c r="G708" s="2"/>
      <c r="H708" s="2"/>
      <c r="I708" s="2"/>
      <c r="J708" s="2"/>
      <c r="K708" s="2"/>
      <c r="L708" s="2" t="s">
        <v>67</v>
      </c>
      <c r="M708" s="2"/>
      <c r="N708" s="3"/>
      <c r="O708" s="2"/>
      <c r="P708" s="2" t="n">
        <v>2</v>
      </c>
      <c r="Q708" s="3" t="n">
        <v>12</v>
      </c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4" t="s">
        <v>2430</v>
      </c>
    </row>
    <row r="709" customFormat="false" ht="15" hidden="false" customHeight="false" outlineLevel="0" collapsed="false">
      <c r="A709" s="2" t="n">
        <v>1919791</v>
      </c>
      <c r="B709" s="2" t="s">
        <v>2431</v>
      </c>
      <c r="C709" s="2" t="s">
        <v>1733</v>
      </c>
      <c r="D709" s="2" t="s">
        <v>341</v>
      </c>
      <c r="E709" s="2" t="s">
        <v>2342</v>
      </c>
      <c r="F709" s="2" t="s">
        <v>70</v>
      </c>
      <c r="G709" s="2"/>
      <c r="H709" s="2"/>
      <c r="I709" s="2"/>
      <c r="J709" s="2"/>
      <c r="K709" s="2"/>
      <c r="L709" s="2" t="s">
        <v>2432</v>
      </c>
      <c r="M709" s="2"/>
      <c r="N709" s="3"/>
      <c r="O709" s="2"/>
      <c r="P709" s="2" t="n">
        <v>11</v>
      </c>
      <c r="Q709" s="3" t="n">
        <v>344</v>
      </c>
      <c r="R709" s="2"/>
      <c r="S709" s="2"/>
      <c r="T709" s="2"/>
      <c r="U709" s="2"/>
      <c r="V709" s="2" t="n">
        <v>1</v>
      </c>
      <c r="W709" s="2"/>
      <c r="X709" s="2"/>
      <c r="Y709" s="2"/>
      <c r="Z709" s="2"/>
      <c r="AA709" s="2"/>
      <c r="AB709" s="2"/>
      <c r="AC709" s="2" t="n">
        <v>2</v>
      </c>
      <c r="AD709" s="2" t="n">
        <v>0.5</v>
      </c>
      <c r="AE709" s="2" t="n">
        <v>1</v>
      </c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 t="n">
        <v>2</v>
      </c>
      <c r="AX709" s="2"/>
      <c r="AY709" s="2"/>
      <c r="AZ709" s="2"/>
      <c r="BA709" s="2"/>
      <c r="BB709" s="2"/>
      <c r="BC709" s="2"/>
      <c r="BD709" s="4" t="s">
        <v>2433</v>
      </c>
    </row>
    <row r="710" customFormat="false" ht="15" hidden="false" customHeight="false" outlineLevel="0" collapsed="false">
      <c r="A710" s="2" t="n">
        <v>1910885</v>
      </c>
      <c r="B710" s="2" t="s">
        <v>2434</v>
      </c>
      <c r="C710" s="2" t="s">
        <v>1733</v>
      </c>
      <c r="D710" s="2" t="s">
        <v>341</v>
      </c>
      <c r="E710" s="2" t="s">
        <v>2342</v>
      </c>
      <c r="F710" s="2" t="s">
        <v>102</v>
      </c>
      <c r="G710" s="2"/>
      <c r="H710" s="2"/>
      <c r="I710" s="2"/>
      <c r="J710" s="2"/>
      <c r="K710" s="2"/>
      <c r="L710" s="2" t="s">
        <v>67</v>
      </c>
      <c r="M710" s="2"/>
      <c r="N710" s="3"/>
      <c r="O710" s="2"/>
      <c r="P710" s="2" t="n">
        <v>9</v>
      </c>
      <c r="Q710" s="3" t="n">
        <v>551</v>
      </c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 t="n">
        <v>2</v>
      </c>
      <c r="AD710" s="2" t="n">
        <v>0.3</v>
      </c>
      <c r="AE710" s="2" t="n">
        <v>2</v>
      </c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 t="n">
        <v>3</v>
      </c>
      <c r="AX710" s="2"/>
      <c r="AY710" s="2"/>
      <c r="AZ710" s="2"/>
      <c r="BA710" s="2"/>
      <c r="BB710" s="2"/>
      <c r="BC710" s="2"/>
      <c r="BD710" s="4" t="s">
        <v>2435</v>
      </c>
    </row>
    <row r="711" customFormat="false" ht="15" hidden="false" customHeight="false" outlineLevel="0" collapsed="false">
      <c r="A711" s="2" t="n">
        <v>1662133</v>
      </c>
      <c r="B711" s="2" t="s">
        <v>2436</v>
      </c>
      <c r="C711" s="2" t="s">
        <v>1733</v>
      </c>
      <c r="D711" s="2" t="s">
        <v>341</v>
      </c>
      <c r="E711" s="2" t="s">
        <v>2342</v>
      </c>
      <c r="F711" s="2" t="s">
        <v>102</v>
      </c>
      <c r="G711" s="2"/>
      <c r="H711" s="2"/>
      <c r="I711" s="2"/>
      <c r="J711" s="2"/>
      <c r="K711" s="2"/>
      <c r="L711" s="2" t="s">
        <v>67</v>
      </c>
      <c r="M711" s="2"/>
      <c r="N711" s="3"/>
      <c r="O711" s="2"/>
      <c r="P711" s="2" t="n">
        <v>4</v>
      </c>
      <c r="Q711" s="3" t="n">
        <v>95</v>
      </c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4" t="s">
        <v>2437</v>
      </c>
    </row>
    <row r="712" customFormat="false" ht="15" hidden="false" customHeight="false" outlineLevel="0" collapsed="false">
      <c r="A712" s="2" t="n">
        <v>1075251</v>
      </c>
      <c r="B712" s="2" t="s">
        <v>2438</v>
      </c>
      <c r="C712" s="2" t="s">
        <v>1733</v>
      </c>
      <c r="D712" s="2" t="s">
        <v>341</v>
      </c>
      <c r="E712" s="2" t="s">
        <v>2342</v>
      </c>
      <c r="F712" s="2" t="s">
        <v>137</v>
      </c>
      <c r="G712" s="2"/>
      <c r="H712" s="2"/>
      <c r="I712" s="2"/>
      <c r="J712" s="2"/>
      <c r="K712" s="2"/>
      <c r="L712" s="2" t="s">
        <v>2439</v>
      </c>
      <c r="M712" s="2"/>
      <c r="N712" s="3"/>
      <c r="O712" s="2"/>
      <c r="P712" s="2" t="n">
        <v>7</v>
      </c>
      <c r="Q712" s="3" t="n">
        <v>568</v>
      </c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 t="n">
        <v>1</v>
      </c>
      <c r="AC712" s="2" t="n">
        <v>3</v>
      </c>
      <c r="AD712" s="2" t="n">
        <v>0.5</v>
      </c>
      <c r="AE712" s="2"/>
      <c r="AF712" s="2"/>
      <c r="AG712" s="2"/>
      <c r="AH712" s="2"/>
      <c r="AI712" s="2"/>
      <c r="AJ712" s="2"/>
      <c r="AK712" s="2"/>
      <c r="AL712" s="2" t="n">
        <v>2</v>
      </c>
      <c r="AM712" s="2" t="n">
        <v>3.6</v>
      </c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4" t="s">
        <v>2440</v>
      </c>
    </row>
    <row r="713" customFormat="false" ht="15" hidden="false" customHeight="false" outlineLevel="0" collapsed="false">
      <c r="A713" s="2" t="n">
        <v>1520631</v>
      </c>
      <c r="B713" s="2" t="s">
        <v>2441</v>
      </c>
      <c r="C713" s="2" t="s">
        <v>1733</v>
      </c>
      <c r="D713" s="2" t="s">
        <v>341</v>
      </c>
      <c r="E713" s="2" t="s">
        <v>2342</v>
      </c>
      <c r="F713" s="2" t="s">
        <v>137</v>
      </c>
      <c r="G713" s="2"/>
      <c r="H713" s="2"/>
      <c r="I713" s="2"/>
      <c r="J713" s="2"/>
      <c r="K713" s="2"/>
      <c r="L713" s="2" t="s">
        <v>2442</v>
      </c>
      <c r="M713" s="2"/>
      <c r="N713" s="3"/>
      <c r="O713" s="2"/>
      <c r="P713" s="2" t="n">
        <v>2</v>
      </c>
      <c r="Q713" s="3" t="n">
        <v>73</v>
      </c>
      <c r="R713" s="2"/>
      <c r="S713" s="2"/>
      <c r="T713" s="2" t="n">
        <v>1</v>
      </c>
      <c r="U713" s="2" t="n">
        <v>0</v>
      </c>
      <c r="V713" s="2"/>
      <c r="W713" s="2"/>
      <c r="X713" s="2"/>
      <c r="Y713" s="2"/>
      <c r="Z713" s="2"/>
      <c r="AA713" s="2"/>
      <c r="AB713" s="2" t="n">
        <v>1</v>
      </c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 t="n">
        <v>1</v>
      </c>
      <c r="AX713" s="2" t="n">
        <v>1</v>
      </c>
      <c r="AY713" s="2"/>
      <c r="AZ713" s="2"/>
      <c r="BA713" s="2"/>
      <c r="BB713" s="2"/>
      <c r="BC713" s="2"/>
      <c r="BD713" s="4" t="s">
        <v>2443</v>
      </c>
    </row>
    <row r="714" customFormat="false" ht="15" hidden="false" customHeight="false" outlineLevel="0" collapsed="false">
      <c r="A714" s="2" t="n">
        <v>1724752</v>
      </c>
      <c r="B714" s="2" t="s">
        <v>2444</v>
      </c>
      <c r="C714" s="2" t="s">
        <v>1834</v>
      </c>
      <c r="D714" s="2" t="s">
        <v>58</v>
      </c>
      <c r="E714" s="2" t="s">
        <v>2342</v>
      </c>
      <c r="F714" s="2" t="s">
        <v>137</v>
      </c>
      <c r="G714" s="2"/>
      <c r="H714" s="2"/>
      <c r="I714" s="2"/>
      <c r="J714" s="2"/>
      <c r="K714" s="2"/>
      <c r="L714" s="2" t="s">
        <v>2445</v>
      </c>
      <c r="M714" s="2"/>
      <c r="N714" s="3"/>
      <c r="O714" s="2"/>
      <c r="P714" s="2" t="n">
        <v>4</v>
      </c>
      <c r="Q714" s="3" t="n">
        <v>38</v>
      </c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 t="n">
        <v>2</v>
      </c>
      <c r="AD714" s="2" t="n">
        <v>4.7</v>
      </c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4" t="s">
        <v>2446</v>
      </c>
    </row>
    <row r="715" customFormat="false" ht="15" hidden="false" customHeight="false" outlineLevel="0" collapsed="false">
      <c r="A715" s="2" t="n">
        <v>1478367</v>
      </c>
      <c r="B715" s="2" t="s">
        <v>2447</v>
      </c>
      <c r="C715" s="2" t="s">
        <v>1914</v>
      </c>
      <c r="D715" s="2" t="s">
        <v>58</v>
      </c>
      <c r="E715" s="2" t="s">
        <v>2342</v>
      </c>
      <c r="F715" s="2" t="s">
        <v>102</v>
      </c>
      <c r="G715" s="2"/>
      <c r="H715" s="2"/>
      <c r="I715" s="2"/>
      <c r="J715" s="2"/>
      <c r="K715" s="2"/>
      <c r="L715" s="2" t="s">
        <v>67</v>
      </c>
      <c r="M715" s="2"/>
      <c r="N715" s="3"/>
      <c r="O715" s="2"/>
      <c r="P715" s="2" t="n">
        <v>12</v>
      </c>
      <c r="Q715" s="3" t="n">
        <v>958</v>
      </c>
      <c r="R715" s="2"/>
      <c r="S715" s="2"/>
      <c r="T715" s="2" t="n">
        <v>1</v>
      </c>
      <c r="U715" s="2" t="n">
        <v>0</v>
      </c>
      <c r="V715" s="2" t="n">
        <v>2</v>
      </c>
      <c r="W715" s="2"/>
      <c r="X715" s="2"/>
      <c r="Y715" s="2"/>
      <c r="Z715" s="2"/>
      <c r="AA715" s="2"/>
      <c r="AB715" s="2"/>
      <c r="AC715" s="2" t="n">
        <v>20</v>
      </c>
      <c r="AD715" s="2" t="n">
        <v>1.9</v>
      </c>
      <c r="AE715" s="2" t="n">
        <v>2</v>
      </c>
      <c r="AF715" s="2"/>
      <c r="AG715" s="2"/>
      <c r="AH715" s="2"/>
      <c r="AI715" s="2"/>
      <c r="AJ715" s="2"/>
      <c r="AK715" s="2"/>
      <c r="AL715" s="2" t="n">
        <v>1</v>
      </c>
      <c r="AM715" s="2" t="n">
        <v>0.5</v>
      </c>
      <c r="AN715" s="2"/>
      <c r="AO715" s="2"/>
      <c r="AP715" s="2"/>
      <c r="AQ715" s="2"/>
      <c r="AR715" s="2"/>
      <c r="AS715" s="2"/>
      <c r="AT715" s="2"/>
      <c r="AU715" s="2"/>
      <c r="AV715" s="2"/>
      <c r="AW715" s="2" t="n">
        <v>3</v>
      </c>
      <c r="AX715" s="2"/>
      <c r="AY715" s="2"/>
      <c r="AZ715" s="2"/>
      <c r="BA715" s="2"/>
      <c r="BB715" s="2"/>
      <c r="BC715" s="2"/>
      <c r="BD715" s="4" t="s">
        <v>2448</v>
      </c>
    </row>
    <row r="716" customFormat="false" ht="15" hidden="false" customHeight="false" outlineLevel="0" collapsed="false">
      <c r="A716" s="2" t="n">
        <v>1025934</v>
      </c>
      <c r="B716" s="2" t="s">
        <v>2449</v>
      </c>
      <c r="C716" s="2" t="s">
        <v>1914</v>
      </c>
      <c r="D716" s="2" t="s">
        <v>58</v>
      </c>
      <c r="E716" s="2" t="s">
        <v>2342</v>
      </c>
      <c r="F716" s="2" t="s">
        <v>137</v>
      </c>
      <c r="G716" s="2"/>
      <c r="H716" s="2"/>
      <c r="I716" s="2"/>
      <c r="J716" s="2"/>
      <c r="K716" s="2"/>
      <c r="L716" s="2" t="s">
        <v>67</v>
      </c>
      <c r="M716" s="2"/>
      <c r="N716" s="3"/>
      <c r="O716" s="2"/>
      <c r="P716" s="2" t="n">
        <v>17</v>
      </c>
      <c r="Q716" s="3" t="n">
        <v>1526</v>
      </c>
      <c r="R716" s="2" t="n">
        <v>7.4</v>
      </c>
      <c r="S716" s="2" t="n">
        <v>4</v>
      </c>
      <c r="T716" s="2" t="n">
        <v>8</v>
      </c>
      <c r="U716" s="2" t="n">
        <v>0</v>
      </c>
      <c r="V716" s="2" t="n">
        <v>4</v>
      </c>
      <c r="W716" s="2"/>
      <c r="X716" s="2" t="n">
        <v>0.47</v>
      </c>
      <c r="Y716" s="2" t="n">
        <v>3.4</v>
      </c>
      <c r="Z716" s="2" t="n">
        <v>1.4</v>
      </c>
      <c r="AA716" s="2" t="n">
        <v>13.8</v>
      </c>
      <c r="AB716" s="2" t="n">
        <v>15</v>
      </c>
      <c r="AC716" s="2" t="n">
        <v>21</v>
      </c>
      <c r="AD716" s="2" t="n">
        <v>1.2</v>
      </c>
      <c r="AE716" s="2" t="n">
        <v>6</v>
      </c>
      <c r="AF716" s="2" t="n">
        <v>9.3</v>
      </c>
      <c r="AG716" s="2" t="n">
        <v>57.9</v>
      </c>
      <c r="AH716" s="2" t="n">
        <v>0.5</v>
      </c>
      <c r="AI716" s="2" t="n">
        <v>72.7</v>
      </c>
      <c r="AJ716" s="2" t="n">
        <v>0.7</v>
      </c>
      <c r="AK716" s="2" t="n">
        <v>33.3</v>
      </c>
      <c r="AL716" s="2"/>
      <c r="AM716" s="2"/>
      <c r="AN716" s="2" t="n">
        <v>3.7</v>
      </c>
      <c r="AO716" s="2" t="n">
        <v>0.7</v>
      </c>
      <c r="AP716" s="2" t="n">
        <v>0.1</v>
      </c>
      <c r="AQ716" s="2" t="n">
        <v>2.5</v>
      </c>
      <c r="AR716" s="2" t="n">
        <v>0.4</v>
      </c>
      <c r="AS716" s="2" t="n">
        <v>1.7</v>
      </c>
      <c r="AT716" s="2" t="n">
        <v>0.4</v>
      </c>
      <c r="AU716" s="2" t="n">
        <v>1.2</v>
      </c>
      <c r="AV716" s="2" t="n">
        <v>1.9</v>
      </c>
      <c r="AW716" s="2" t="n">
        <v>3</v>
      </c>
      <c r="AX716" s="2" t="n">
        <v>1</v>
      </c>
      <c r="AY716" s="2"/>
      <c r="AZ716" s="2"/>
      <c r="BA716" s="2"/>
      <c r="BB716" s="2"/>
      <c r="BC716" s="2"/>
      <c r="BD716" s="4" t="s">
        <v>2450</v>
      </c>
    </row>
    <row r="717" customFormat="false" ht="15" hidden="false" customHeight="false" outlineLevel="0" collapsed="false">
      <c r="A717" s="2" t="n">
        <v>1615719</v>
      </c>
      <c r="B717" s="2" t="s">
        <v>2451</v>
      </c>
      <c r="C717" s="2" t="s">
        <v>1998</v>
      </c>
      <c r="D717" s="2" t="s">
        <v>341</v>
      </c>
      <c r="E717" s="2" t="s">
        <v>2342</v>
      </c>
      <c r="F717" s="2" t="s">
        <v>70</v>
      </c>
      <c r="G717" s="2"/>
      <c r="H717" s="2"/>
      <c r="I717" s="2"/>
      <c r="J717" s="2"/>
      <c r="K717" s="2"/>
      <c r="L717" s="2" t="s">
        <v>67</v>
      </c>
      <c r="M717" s="2"/>
      <c r="N717" s="3"/>
      <c r="O717" s="2"/>
      <c r="P717" s="2" t="n">
        <v>12</v>
      </c>
      <c r="Q717" s="3" t="n">
        <v>381</v>
      </c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 t="n">
        <v>1</v>
      </c>
      <c r="AD717" s="2" t="n">
        <v>0.2</v>
      </c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4" t="s">
        <v>2452</v>
      </c>
    </row>
    <row r="718" customFormat="false" ht="15" hidden="false" customHeight="false" outlineLevel="0" collapsed="false">
      <c r="A718" s="2" t="n">
        <v>1708523</v>
      </c>
      <c r="B718" s="2" t="s">
        <v>2055</v>
      </c>
      <c r="C718" s="2" t="s">
        <v>1998</v>
      </c>
      <c r="D718" s="2" t="s">
        <v>341</v>
      </c>
      <c r="E718" s="2" t="s">
        <v>2342</v>
      </c>
      <c r="F718" s="2" t="s">
        <v>102</v>
      </c>
      <c r="G718" s="2"/>
      <c r="H718" s="2"/>
      <c r="I718" s="2"/>
      <c r="J718" s="2"/>
      <c r="K718" s="2"/>
      <c r="L718" s="2" t="s">
        <v>2453</v>
      </c>
      <c r="M718" s="2"/>
      <c r="N718" s="3"/>
      <c r="O718" s="2"/>
      <c r="P718" s="2" t="n">
        <v>21</v>
      </c>
      <c r="Q718" s="3" t="n">
        <v>1362</v>
      </c>
      <c r="R718" s="2" t="n">
        <v>6.78</v>
      </c>
      <c r="S718" s="2" t="n">
        <v>0</v>
      </c>
      <c r="T718" s="2"/>
      <c r="U718" s="2"/>
      <c r="V718" s="2" t="n">
        <v>1</v>
      </c>
      <c r="W718" s="2"/>
      <c r="X718" s="2"/>
      <c r="Y718" s="2" t="n">
        <v>0.5</v>
      </c>
      <c r="Z718" s="2" t="n">
        <v>0.1</v>
      </c>
      <c r="AA718" s="2" t="n">
        <v>0</v>
      </c>
      <c r="AB718" s="2"/>
      <c r="AC718" s="2" t="n">
        <v>9</v>
      </c>
      <c r="AD718" s="2" t="n">
        <v>0.6</v>
      </c>
      <c r="AE718" s="2" t="n">
        <v>3</v>
      </c>
      <c r="AF718" s="2" t="n">
        <v>53.1</v>
      </c>
      <c r="AG718" s="2" t="n">
        <v>88.5</v>
      </c>
      <c r="AH718" s="2" t="n">
        <v>3.4</v>
      </c>
      <c r="AI718" s="2" t="n">
        <v>62.2</v>
      </c>
      <c r="AJ718" s="2" t="n">
        <v>0.8</v>
      </c>
      <c r="AK718" s="2" t="n">
        <v>54.5</v>
      </c>
      <c r="AL718" s="2"/>
      <c r="AM718" s="2"/>
      <c r="AN718" s="2" t="n">
        <v>3</v>
      </c>
      <c r="AO718" s="2" t="n">
        <v>1.6</v>
      </c>
      <c r="AP718" s="2" t="n">
        <v>0.5</v>
      </c>
      <c r="AQ718" s="2" t="n">
        <v>0.7</v>
      </c>
      <c r="AR718" s="2" t="n">
        <v>0.2</v>
      </c>
      <c r="AS718" s="2" t="n">
        <v>5.1</v>
      </c>
      <c r="AT718" s="2" t="n">
        <v>0.6</v>
      </c>
      <c r="AU718" s="2" t="n">
        <v>2.6</v>
      </c>
      <c r="AV718" s="2" t="n">
        <v>0.9</v>
      </c>
      <c r="AW718" s="2" t="n">
        <v>1</v>
      </c>
      <c r="AX718" s="2"/>
      <c r="AY718" s="2"/>
      <c r="AZ718" s="2"/>
      <c r="BA718" s="2"/>
      <c r="BB718" s="2"/>
      <c r="BC718" s="2"/>
      <c r="BD718" s="4" t="s">
        <v>2454</v>
      </c>
    </row>
    <row r="719" customFormat="false" ht="15" hidden="false" customHeight="false" outlineLevel="0" collapsed="false">
      <c r="A719" s="2" t="n">
        <v>860585</v>
      </c>
      <c r="B719" s="2" t="s">
        <v>2455</v>
      </c>
      <c r="C719" s="2" t="s">
        <v>1998</v>
      </c>
      <c r="D719" s="2" t="s">
        <v>341</v>
      </c>
      <c r="E719" s="2" t="s">
        <v>2342</v>
      </c>
      <c r="F719" s="2" t="s">
        <v>102</v>
      </c>
      <c r="G719" s="2"/>
      <c r="H719" s="2"/>
      <c r="I719" s="2"/>
      <c r="J719" s="2"/>
      <c r="K719" s="2"/>
      <c r="L719" s="2" t="s">
        <v>2456</v>
      </c>
      <c r="M719" s="2"/>
      <c r="N719" s="3"/>
      <c r="O719" s="2"/>
      <c r="P719" s="2" t="n">
        <v>10</v>
      </c>
      <c r="Q719" s="3" t="n">
        <v>401</v>
      </c>
      <c r="R719" s="2"/>
      <c r="S719" s="2"/>
      <c r="T719" s="2" t="n">
        <v>1</v>
      </c>
      <c r="U719" s="2" t="n">
        <v>0</v>
      </c>
      <c r="V719" s="2"/>
      <c r="W719" s="2"/>
      <c r="X719" s="2"/>
      <c r="Y719" s="2"/>
      <c r="Z719" s="2"/>
      <c r="AA719" s="2"/>
      <c r="AB719" s="2" t="n">
        <v>2</v>
      </c>
      <c r="AC719" s="2" t="n">
        <v>2</v>
      </c>
      <c r="AD719" s="2" t="n">
        <v>0.4</v>
      </c>
      <c r="AE719" s="2" t="n">
        <v>1</v>
      </c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 t="n">
        <v>3</v>
      </c>
      <c r="AX719" s="2"/>
      <c r="AY719" s="2"/>
      <c r="AZ719" s="2"/>
      <c r="BA719" s="2"/>
      <c r="BB719" s="2"/>
      <c r="BC719" s="2"/>
      <c r="BD719" s="4" t="s">
        <v>2457</v>
      </c>
    </row>
    <row r="720" customFormat="false" ht="15" hidden="false" customHeight="false" outlineLevel="0" collapsed="false">
      <c r="A720" s="2" t="n">
        <v>1649152</v>
      </c>
      <c r="B720" s="2" t="s">
        <v>2458</v>
      </c>
      <c r="C720" s="2" t="s">
        <v>2078</v>
      </c>
      <c r="D720" s="2" t="s">
        <v>341</v>
      </c>
      <c r="E720" s="2" t="s">
        <v>2342</v>
      </c>
      <c r="F720" s="2" t="s">
        <v>102</v>
      </c>
      <c r="G720" s="2"/>
      <c r="H720" s="2"/>
      <c r="I720" s="2"/>
      <c r="J720" s="2"/>
      <c r="K720" s="2"/>
      <c r="L720" s="2" t="s">
        <v>2459</v>
      </c>
      <c r="M720" s="2"/>
      <c r="N720" s="3"/>
      <c r="O720" s="2"/>
      <c r="P720" s="2" t="n">
        <v>15</v>
      </c>
      <c r="Q720" s="3" t="n">
        <v>911</v>
      </c>
      <c r="R720" s="2" t="n">
        <v>6.82</v>
      </c>
      <c r="S720" s="2" t="n">
        <v>1</v>
      </c>
      <c r="T720" s="2" t="n">
        <v>5</v>
      </c>
      <c r="U720" s="2" t="n">
        <v>0</v>
      </c>
      <c r="V720" s="2" t="n">
        <v>1</v>
      </c>
      <c r="W720" s="2"/>
      <c r="X720" s="2" t="n">
        <v>0.49</v>
      </c>
      <c r="Y720" s="2" t="n">
        <v>2.3</v>
      </c>
      <c r="Z720" s="2" t="n">
        <v>0.9</v>
      </c>
      <c r="AA720" s="2" t="n">
        <v>21.7</v>
      </c>
      <c r="AB720" s="2"/>
      <c r="AC720" s="2" t="n">
        <v>9</v>
      </c>
      <c r="AD720" s="2" t="n">
        <v>0.9</v>
      </c>
      <c r="AE720" s="2" t="n">
        <v>1</v>
      </c>
      <c r="AF720" s="2" t="n">
        <v>26.1</v>
      </c>
      <c r="AG720" s="2" t="n">
        <v>84.1</v>
      </c>
      <c r="AH720" s="2" t="n">
        <v>2.1</v>
      </c>
      <c r="AI720" s="2" t="n">
        <v>61.8</v>
      </c>
      <c r="AJ720" s="2" t="n">
        <v>0.3</v>
      </c>
      <c r="AK720" s="2" t="n">
        <v>37.5</v>
      </c>
      <c r="AL720" s="2"/>
      <c r="AM720" s="2"/>
      <c r="AN720" s="2" t="n">
        <v>1.5</v>
      </c>
      <c r="AO720" s="2" t="n">
        <v>0.6</v>
      </c>
      <c r="AP720" s="2" t="n">
        <v>0.2</v>
      </c>
      <c r="AQ720" s="2" t="n">
        <v>0.6</v>
      </c>
      <c r="AR720" s="2" t="n">
        <v>0.1</v>
      </c>
      <c r="AS720" s="2" t="n">
        <v>2.7</v>
      </c>
      <c r="AT720" s="2" t="n">
        <v>0.2</v>
      </c>
      <c r="AU720" s="2" t="n">
        <v>1.5</v>
      </c>
      <c r="AV720" s="2" t="n">
        <v>1.3</v>
      </c>
      <c r="AW720" s="2" t="n">
        <v>3</v>
      </c>
      <c r="AX720" s="2"/>
      <c r="AY720" s="2"/>
      <c r="AZ720" s="2"/>
      <c r="BA720" s="2"/>
      <c r="BB720" s="2"/>
      <c r="BC720" s="2"/>
      <c r="BD720" s="4" t="s">
        <v>2460</v>
      </c>
    </row>
    <row r="721" customFormat="false" ht="15" hidden="false" customHeight="false" outlineLevel="0" collapsed="false">
      <c r="A721" s="2" t="n">
        <v>1252616</v>
      </c>
      <c r="B721" s="2" t="s">
        <v>2461</v>
      </c>
      <c r="C721" s="2" t="s">
        <v>2078</v>
      </c>
      <c r="D721" s="2" t="s">
        <v>341</v>
      </c>
      <c r="E721" s="2" t="s">
        <v>2342</v>
      </c>
      <c r="F721" s="2" t="s">
        <v>137</v>
      </c>
      <c r="G721" s="2"/>
      <c r="H721" s="2"/>
      <c r="I721" s="2"/>
      <c r="J721" s="2"/>
      <c r="K721" s="2"/>
      <c r="L721" s="2" t="s">
        <v>67</v>
      </c>
      <c r="M721" s="2"/>
      <c r="N721" s="3"/>
      <c r="O721" s="2"/>
      <c r="P721" s="2" t="n">
        <v>6</v>
      </c>
      <c r="Q721" s="3" t="n">
        <v>264</v>
      </c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 t="n">
        <v>2</v>
      </c>
      <c r="AD721" s="2" t="n">
        <v>0.7</v>
      </c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 t="n">
        <v>2</v>
      </c>
      <c r="AX721" s="2"/>
      <c r="AY721" s="2"/>
      <c r="AZ721" s="2"/>
      <c r="BA721" s="2"/>
      <c r="BB721" s="2"/>
      <c r="BC721" s="2"/>
      <c r="BD721" s="4" t="s">
        <v>2462</v>
      </c>
    </row>
    <row r="722" customFormat="false" ht="15" hidden="false" customHeight="false" outlineLevel="0" collapsed="false">
      <c r="A722" s="2" t="n">
        <v>1610324</v>
      </c>
      <c r="B722" s="2" t="s">
        <v>2463</v>
      </c>
      <c r="C722" s="2" t="s">
        <v>2164</v>
      </c>
      <c r="D722" s="2" t="s">
        <v>58</v>
      </c>
      <c r="E722" s="2" t="s">
        <v>2342</v>
      </c>
      <c r="F722" s="2" t="s">
        <v>60</v>
      </c>
      <c r="G722" s="2"/>
      <c r="H722" s="2"/>
      <c r="I722" s="2"/>
      <c r="J722" s="2"/>
      <c r="K722" s="2"/>
      <c r="L722" s="2" t="s">
        <v>67</v>
      </c>
      <c r="M722" s="2"/>
      <c r="N722" s="3"/>
      <c r="O722" s="2"/>
      <c r="P722" s="2" t="n">
        <v>15</v>
      </c>
      <c r="Q722" s="3" t="n">
        <v>1335</v>
      </c>
      <c r="R722" s="2" t="n">
        <v>6.41</v>
      </c>
      <c r="S722" s="2" t="n">
        <v>0</v>
      </c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 t="n">
        <v>24</v>
      </c>
      <c r="AG722" s="2" t="n">
        <v>61.9</v>
      </c>
      <c r="AH722" s="2"/>
      <c r="AI722" s="2"/>
      <c r="AJ722" s="2"/>
      <c r="AK722" s="2"/>
      <c r="AL722" s="2"/>
      <c r="AM722" s="2"/>
      <c r="AN722" s="2" t="n">
        <v>0.9</v>
      </c>
      <c r="AO722" s="2"/>
      <c r="AP722" s="2"/>
      <c r="AQ722" s="2" t="n">
        <v>0.9</v>
      </c>
      <c r="AR722" s="2"/>
      <c r="AS722" s="2" t="n">
        <v>11.3</v>
      </c>
      <c r="AT722" s="2"/>
      <c r="AU722" s="2"/>
      <c r="AV722" s="2"/>
      <c r="AW722" s="2"/>
      <c r="AX722" s="2"/>
      <c r="AY722" s="2"/>
      <c r="AZ722" s="2"/>
      <c r="BA722" s="2" t="n">
        <v>4</v>
      </c>
      <c r="BB722" s="2" t="n">
        <v>59.4</v>
      </c>
      <c r="BC722" s="2" t="n">
        <v>2.8</v>
      </c>
      <c r="BD722" s="4" t="s">
        <v>2464</v>
      </c>
    </row>
    <row r="723" customFormat="false" ht="15" hidden="false" customHeight="false" outlineLevel="0" collapsed="false">
      <c r="A723" s="2" t="n">
        <v>825605</v>
      </c>
      <c r="B723" s="2" t="s">
        <v>2465</v>
      </c>
      <c r="C723" s="2" t="s">
        <v>2164</v>
      </c>
      <c r="D723" s="2" t="s">
        <v>58</v>
      </c>
      <c r="E723" s="2" t="s">
        <v>2342</v>
      </c>
      <c r="F723" s="2" t="s">
        <v>137</v>
      </c>
      <c r="G723" s="2"/>
      <c r="H723" s="2"/>
      <c r="I723" s="2"/>
      <c r="J723" s="2"/>
      <c r="K723" s="2"/>
      <c r="L723" s="2" t="s">
        <v>2353</v>
      </c>
      <c r="M723" s="2"/>
      <c r="N723" s="3"/>
      <c r="O723" s="2"/>
      <c r="P723" s="2" t="n">
        <v>1</v>
      </c>
      <c r="Q723" s="3" t="n">
        <v>23</v>
      </c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 t="n">
        <v>1</v>
      </c>
      <c r="AD723" s="2" t="n">
        <v>3.9</v>
      </c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4" t="s">
        <v>2466</v>
      </c>
    </row>
    <row r="724" customFormat="false" ht="15" hidden="false" customHeight="false" outlineLevel="0" collapsed="false">
      <c r="A724" s="2" t="n">
        <v>1045118</v>
      </c>
      <c r="B724" s="2" t="s">
        <v>2467</v>
      </c>
      <c r="C724" s="2" t="s">
        <v>2262</v>
      </c>
      <c r="D724" s="2" t="s">
        <v>58</v>
      </c>
      <c r="E724" s="2" t="s">
        <v>2342</v>
      </c>
      <c r="F724" s="2" t="s">
        <v>70</v>
      </c>
      <c r="G724" s="2"/>
      <c r="H724" s="2"/>
      <c r="I724" s="2"/>
      <c r="J724" s="2"/>
      <c r="K724" s="2"/>
      <c r="L724" s="2" t="s">
        <v>67</v>
      </c>
      <c r="M724" s="2"/>
      <c r="N724" s="3"/>
      <c r="O724" s="2"/>
      <c r="P724" s="2" t="n">
        <v>3</v>
      </c>
      <c r="Q724" s="3" t="n">
        <v>148</v>
      </c>
      <c r="R724" s="2"/>
      <c r="S724" s="2"/>
      <c r="T724" s="2" t="n">
        <v>1</v>
      </c>
      <c r="U724" s="2" t="n">
        <v>0</v>
      </c>
      <c r="V724" s="2"/>
      <c r="W724" s="2"/>
      <c r="X724" s="2"/>
      <c r="Y724" s="2"/>
      <c r="Z724" s="2"/>
      <c r="AA724" s="2"/>
      <c r="AB724" s="2"/>
      <c r="AC724" s="2" t="n">
        <v>2</v>
      </c>
      <c r="AD724" s="2" t="n">
        <v>1.2</v>
      </c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4" t="s">
        <v>2468</v>
      </c>
    </row>
    <row r="725" customFormat="false" ht="15" hidden="false" customHeight="false" outlineLevel="0" collapsed="false">
      <c r="A725" s="2" t="n">
        <v>1190717</v>
      </c>
      <c r="B725" s="2" t="s">
        <v>2469</v>
      </c>
      <c r="C725" s="2" t="s">
        <v>2262</v>
      </c>
      <c r="D725" s="2" t="s">
        <v>58</v>
      </c>
      <c r="E725" s="2" t="s">
        <v>2342</v>
      </c>
      <c r="F725" s="2" t="s">
        <v>70</v>
      </c>
      <c r="G725" s="2"/>
      <c r="H725" s="2"/>
      <c r="I725" s="2"/>
      <c r="J725" s="2"/>
      <c r="K725" s="2"/>
      <c r="L725" s="2" t="s">
        <v>67</v>
      </c>
      <c r="M725" s="2"/>
      <c r="N725" s="3"/>
      <c r="O725" s="2"/>
      <c r="P725" s="2" t="n">
        <v>3</v>
      </c>
      <c r="Q725" s="3" t="n">
        <v>127</v>
      </c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 t="n">
        <v>1</v>
      </c>
      <c r="AD725" s="2" t="n">
        <v>0.7</v>
      </c>
      <c r="AE725" s="2" t="n">
        <v>1</v>
      </c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 t="n">
        <v>1</v>
      </c>
      <c r="AY725" s="2"/>
      <c r="AZ725" s="2"/>
      <c r="BA725" s="2"/>
      <c r="BB725" s="2"/>
      <c r="BC725" s="2"/>
      <c r="BD725" s="4" t="s">
        <v>2470</v>
      </c>
    </row>
    <row r="726" customFormat="false" ht="15" hidden="false" customHeight="false" outlineLevel="0" collapsed="false">
      <c r="A726" s="2" t="n">
        <v>323380</v>
      </c>
      <c r="B726" s="2" t="s">
        <v>2471</v>
      </c>
      <c r="C726" s="2" t="s">
        <v>2262</v>
      </c>
      <c r="D726" s="2" t="s">
        <v>58</v>
      </c>
      <c r="E726" s="2" t="s">
        <v>2342</v>
      </c>
      <c r="F726" s="2" t="s">
        <v>102</v>
      </c>
      <c r="G726" s="2"/>
      <c r="H726" s="2"/>
      <c r="I726" s="2"/>
      <c r="J726" s="2"/>
      <c r="K726" s="2"/>
      <c r="L726" s="2" t="s">
        <v>2472</v>
      </c>
      <c r="M726" s="2"/>
      <c r="N726" s="3"/>
      <c r="O726" s="2"/>
      <c r="P726" s="2" t="n">
        <v>9</v>
      </c>
      <c r="Q726" s="3" t="n">
        <v>468</v>
      </c>
      <c r="R726" s="2"/>
      <c r="S726" s="2"/>
      <c r="T726" s="2" t="n">
        <v>2</v>
      </c>
      <c r="U726" s="2" t="n">
        <v>0</v>
      </c>
      <c r="V726" s="2" t="n">
        <v>2</v>
      </c>
      <c r="W726" s="2"/>
      <c r="X726" s="2"/>
      <c r="Y726" s="2"/>
      <c r="Z726" s="2"/>
      <c r="AA726" s="2"/>
      <c r="AB726" s="2"/>
      <c r="AC726" s="2" t="n">
        <v>18</v>
      </c>
      <c r="AD726" s="2" t="n">
        <v>3.5</v>
      </c>
      <c r="AE726" s="2" t="n">
        <v>3</v>
      </c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4" t="s">
        <v>2473</v>
      </c>
    </row>
  </sheetData>
  <hyperlinks>
    <hyperlink ref="BD2" r:id="rId1" display="https://www.fotmob.com/players/912343/jassem-koleilat"/>
    <hyperlink ref="BD3" r:id="rId2" display="https://www.fotmob.com/players/1804493/trevor-mcmullen"/>
    <hyperlink ref="BD4" r:id="rId3" display="https://www.fotmob.com/players/1368657/dawson-mccartney"/>
    <hyperlink ref="BD5" r:id="rId4" display="https://www.fotmob.com/players/621906/phanuel-kavita"/>
    <hyperlink ref="BD6" r:id="rId5" display="https://www.fotmob.com/players/1262891/bryce-washington"/>
    <hyperlink ref="BD7" r:id="rId6" display="https://www.fotmob.com/players/1252148/nico-brown"/>
    <hyperlink ref="BD8" r:id="rId7" display="https://www.fotmob.com/players/1439803/hamady-diop"/>
    <hyperlink ref="BD9" r:id="rId8" display="https://www.fotmob.com/players/1624479/amir-daley"/>
    <hyperlink ref="BD10" r:id="rId9" display="https://www.fotmob.com/players/1059682/aj-paterson"/>
    <hyperlink ref="BD11" r:id="rId10" display="https://www.fotmob.com/players/1682447/seth-antwi"/>
    <hyperlink ref="BD12" r:id="rId11" display="https://www.fotmob.com/players/847603/samuel-shashoua"/>
    <hyperlink ref="BD13" r:id="rId12" display="https://www.fotmob.com/players/530617/tyler-pasher"/>
    <hyperlink ref="BD14" r:id="rId13" display="https://www.fotmob.com/players/932131/peter-lee-vassell"/>
    <hyperlink ref="BD15" r:id="rId14" display="https://www.fotmob.com/players/860928/samuel-mcillhatton"/>
    <hyperlink ref="BD16" r:id="rId15" display="https://www.fotmob.com/players/1431704/kadeem-cole"/>
    <hyperlink ref="BD17" r:id="rId16" display="https://www.fotmob.com/players/1190660/serge-ngoma"/>
    <hyperlink ref="BD18" r:id="rId17" display="https://www.fotmob.com/players/1637902/gevork-diarbian"/>
    <hyperlink ref="BD19" r:id="rId18" display="https://www.fotmob.com/players/1662187/sebastian-tregarthen"/>
    <hyperlink ref="BD20" r:id="rId19" display="https://www.fotmob.com/players/790332/ronaldo-damus"/>
    <hyperlink ref="BD21" r:id="rId20" display="https://www.fotmob.com/players/621524/romario-williams"/>
    <hyperlink ref="BD22" r:id="rId21" display="https://www.fotmob.com/players/622027/sebastian-saucedo"/>
    <hyperlink ref="BD23" r:id="rId22" display="https://www.fotmob.com/players/1780513/jonathan-hernandez"/>
    <hyperlink ref="BD24" r:id="rId23" display="https://www.fotmob.com/players/1781517/jaylen-lester"/>
    <hyperlink ref="BD25" r:id="rId24" display="https://www.fotmob.com/players/1171002/lukas-burns"/>
    <hyperlink ref="BD26" r:id="rId25" display="https://www.fotmob.com/players/928437/jackson-lee"/>
    <hyperlink ref="BD27" r:id="rId26" display="https://www.fotmob.com/players/936220/thomas-vancaeyezeele"/>
    <hyperlink ref="BD28" r:id="rId27" display="https://www.fotmob.com/players/1447526/gabriel-alves"/>
    <hyperlink ref="BD29" r:id="rId28" display="https://www.fotmob.com/players/1248123/vuk-latinovich"/>
    <hyperlink ref="BD30" r:id="rId29" display="https://www.fotmob.com/players/1935110/callum-frogson"/>
    <hyperlink ref="BD31" r:id="rId30" display="https://www.fotmob.com/players/388894/ryan-mclaughlin"/>
    <hyperlink ref="BD32" r:id="rId31" display="https://www.fotmob.com/players/1024286/rocco-romeo"/>
    <hyperlink ref="BD33" r:id="rId32" display="https://www.fotmob.com/players/1138224/so-nishikawa"/>
    <hyperlink ref="BD34" r:id="rId33" display="https://www.fotmob.com/players/1724754/taimu-okiyoshi"/>
    <hyperlink ref="BD35" r:id="rId34" display="https://www.fotmob.com/players/526485/tommy-mcnamara"/>
    <hyperlink ref="BD36" r:id="rId35" display="https://www.fotmob.com/players/1440048/malik-pinto"/>
    <hyperlink ref="BD37" r:id="rId36" display="https://www.fotmob.com/players/1170973/jaden-servania"/>
    <hyperlink ref="BD38" r:id="rId37" display="https://www.fotmob.com/players/1639626/peter-mangione"/>
    <hyperlink ref="BD39" r:id="rId38" display="https://www.fotmob.com/players/1460074/john-klein"/>
    <hyperlink ref="BD40" r:id="rId39" display="https://www.fotmob.com/players/924483/anthony-fontana"/>
    <hyperlink ref="BD41" r:id="rId40" display="https://www.fotmob.com/players/1455583/cj-olney-jr"/>
    <hyperlink ref="BD42" r:id="rId41" display="https://www.fotmob.com/players/1098593/juan-obregon"/>
    <hyperlink ref="BD43" r:id="rId42" display="https://www.fotmob.com/players/1346904/stefan-stojanovic"/>
    <hyperlink ref="BD44" r:id="rId43" display="https://www.fotmob.com/players/1469822/abdoulaye-kante"/>
    <hyperlink ref="BD45" r:id="rId44" display="https://www.fotmob.com/players/754584/pierre-da-silva"/>
    <hyperlink ref="BD46" r:id="rId45" display="https://www.fotmob.com/players/1076859/luis-zamudio"/>
    <hyperlink ref="BD47" r:id="rId46" display="https://www.fotmob.com/players/525646/john-berner"/>
    <hyperlink ref="BD48" r:id="rId47" display="https://www.fotmob.com/players/1368138/daniel-kuzemka"/>
    <hyperlink ref="BD49" r:id="rId48" display="https://www.fotmob.com/players/2221954/cohen-rigsby"/>
    <hyperlink ref="BD50" r:id="rId49" display="https://www.fotmob.com/players/1440047/joey-akpunonu"/>
    <hyperlink ref="BD51" r:id="rId50" display="https://www.fotmob.com/players/924435/graham-smith"/>
    <hyperlink ref="BD52" r:id="rId51" display="https://www.fotmob.com/players/1623839/nathan-messer"/>
    <hyperlink ref="BD53" r:id="rId52" display="https://www.fotmob.com/players/1615774/sean-suber"/>
    <hyperlink ref="BD54" r:id="rId53" display="https://www.fotmob.com/players/844926/douglas-martinez"/>
    <hyperlink ref="BD55" r:id="rId54" display="https://www.fotmob.com/players/1448116/langston-blackstock"/>
    <hyperlink ref="BD56" r:id="rId55" display="https://www.fotmob.com/players/1781459/kruz-held"/>
    <hyperlink ref="BD57" r:id="rId56" display="https://www.fotmob.com/players/1172904/emilio-ycaza"/>
    <hyperlink ref="BD58" r:id="rId57" display="https://www.fotmob.com/players/1902106/kirill-pakhomov"/>
    <hyperlink ref="BD59" r:id="rId58" display="https://www.fotmob.com/players/938954/laurent-kissiedou"/>
    <hyperlink ref="BD60" r:id="rId59" display="https://www.fotmob.com/players/1252861/nanan-houssou"/>
    <hyperlink ref="BD61" r:id="rId60" display="https://www.fotmob.com/players/877678/chris-allan"/>
    <hyperlink ref="BD62" r:id="rId61" display="https://www.fotmob.com/players/1921633/jack-wayne"/>
    <hyperlink ref="BD63" r:id="rId62" display="https://www.fotmob.com/players/2205532/briggs-gwozdo"/>
    <hyperlink ref="BD64" r:id="rId63" display="https://www.fotmob.com/players/1124831/jeremy-kelly"/>
    <hyperlink ref="BD65" r:id="rId64" display="https://www.fotmob.com/players/1166273/miguel-berry"/>
    <hyperlink ref="BD66" r:id="rId65" display="https://www.fotmob.com/players/919527/maalique-foster"/>
    <hyperlink ref="BD67" r:id="rId66" display="https://www.fotmob.com/players/1666357/colton-swan"/>
    <hyperlink ref="BD68" r:id="rId67" display="https://www.fotmob.com/players/1047604/wilmer-cabrera"/>
    <hyperlink ref="BD69" r:id="rId68" display="https://www.fotmob.com/players/1518693/alec-hughes"/>
    <hyperlink ref="BD70" r:id="rId69" display="https://www.fotmob.com/players/2221955/camilo-sanchez"/>
    <hyperlink ref="BD71" r:id="rId70" display="https://www.fotmob.com/players/1257960/colin-shutler"/>
    <hyperlink ref="BD72" r:id="rId71" display="https://www.fotmob.com/players/1082233/christian-herrera"/>
    <hyperlink ref="BD73" r:id="rId72" display="https://www.fotmob.com/players/2096676/samuel-jones"/>
    <hyperlink ref="BD74" r:id="rId73" display="https://www.fotmob.com/players/1302830/talen-maples"/>
    <hyperlink ref="BD75" r:id="rId74" display="https://www.fotmob.com/players/1450959/aidan-rocha"/>
    <hyperlink ref="BD76" r:id="rId75" display="https://www.fotmob.com/players/945641/matt-mahoney"/>
    <hyperlink ref="BD77" r:id="rId76" display="https://www.fotmob.com/players/802493/patrick-burner"/>
    <hyperlink ref="BD78" r:id="rId77" display="https://www.fotmob.com/players/1286428/garven-metusala"/>
    <hyperlink ref="BD79" r:id="rId78" display="https://www.fotmob.com/players/1341149/isaiah-foster"/>
    <hyperlink ref="BD80" r:id="rId79" display="https://www.fotmob.com/players/649744/duke-lacroix"/>
    <hyperlink ref="BD81" r:id="rId80" display="https://www.fotmob.com/players/1899033/jabari-de-coteau"/>
    <hyperlink ref="BD82" r:id="rId81" display="https://www.fotmob.com/players/1520240/brennan-creek"/>
    <hyperlink ref="BD83" r:id="rId82" display="https://www.fotmob.com/players/1026083/adrien-perez"/>
    <hyperlink ref="BD84" r:id="rId83" display="https://www.fotmob.com/players/1269365/sam-williams"/>
    <hyperlink ref="BD85" r:id="rId84" display="https://www.fotmob.com/players/1252846/frank-daroma"/>
    <hyperlink ref="BD86" r:id="rId85" display="https://www.fotmob.com/players/671835/speedy-williams"/>
    <hyperlink ref="BD87" r:id="rId86" display="https://www.fotmob.com/players/1252220/steven-echevarria"/>
    <hyperlink ref="BD88" r:id="rId87" display="https://www.fotmob.com/players/1058359/tyreek-magee"/>
    <hyperlink ref="BD89" r:id="rId88" display="https://www.fotmob.com/players/1921662/dane-valenti"/>
    <hyperlink ref="BD90" r:id="rId89" display="https://www.fotmob.com/players/940300/khori-bennett"/>
    <hyperlink ref="BD91" r:id="rId90" display="https://www.fotmob.com/players/1886516/sadam-masereka"/>
    <hyperlink ref="BD92" r:id="rId91" display="https://www.fotmob.com/players/1048898/juan-tejada"/>
    <hyperlink ref="BD93" r:id="rId92" display="https://www.fotmob.com/players/538520/jonas-fjeldberg"/>
    <hyperlink ref="BD94" r:id="rId93" display="https://www.fotmob.com/players/1348316/yosuke-hanya"/>
    <hyperlink ref="BD95" r:id="rId94" display="https://www.fotmob.com/players/1408628/bryce-jamison"/>
    <hyperlink ref="BD96" r:id="rId95" display="https://www.fotmob.com/players/1079287/elvis-amoh"/>
    <hyperlink ref="BD97" r:id="rId96" display="https://www.fotmob.com/players/1946334/griffin-price"/>
    <hyperlink ref="BD98" r:id="rId97" display="https://www.fotmob.com/players/2119829/jesus-sandoval"/>
    <hyperlink ref="BD99" r:id="rId98" display="https://www.fotmob.com/players/1928364/rashed-jahan"/>
    <hyperlink ref="BD100" r:id="rId99" display="https://www.fotmob.com/players/1357579/carlos-herrera"/>
    <hyperlink ref="BD101" r:id="rId100" display="https://www.fotmob.com/players/1298994/carlos-saldana"/>
    <hyperlink ref="BD102" r:id="rId101" display="https://www.fotmob.com/players/649957/tatenda-mkuruva"/>
    <hyperlink ref="BD103" r:id="rId102" display="https://www.fotmob.com/players/1175165/devon-amoo-mensah"/>
    <hyperlink ref="BD104" r:id="rId103" display="https://www.fotmob.com/players/1644456/haruki-yamazaki"/>
    <hyperlink ref="BD105" r:id="rId104" display="https://www.fotmob.com/players/1026047/callum-montgomery"/>
    <hyperlink ref="BD106" r:id="rId105" display="https://www.fotmob.com/players/1611186/tommy-silva"/>
    <hyperlink ref="BD107" r:id="rId106" display="https://www.fotmob.com/players/1172869/aedan-stanley"/>
    <hyperlink ref="BD108" r:id="rId107" display="https://www.fotmob.com/players/1246586/rio-hope-gund"/>
    <hyperlink ref="BD109" r:id="rId108" display="https://www.fotmob.com/players/1081951/rhys-williams"/>
    <hyperlink ref="BD110" r:id="rId109" display="https://www.fotmob.com/players/1175374/michael-bryant"/>
    <hyperlink ref="BD111" r:id="rId110" display="https://www.fotmob.com/players/1079029/kobe-hernandez-foster"/>
    <hyperlink ref="BD112" r:id="rId111" display="https://www.fotmob.com/players/1170736/abdoulaye-diop"/>
    <hyperlink ref="BD113" r:id="rId112" display="https://www.fotmob.com/players/942418/maxi-rodriguez"/>
    <hyperlink ref="BD114" r:id="rId113" display="https://www.fotmob.com/players/157390/ryan-williams"/>
    <hyperlink ref="BD115" r:id="rId114" display="https://www.fotmob.com/players/1175406/connor-rutz"/>
    <hyperlink ref="BD116" r:id="rId115" display="https://www.fotmob.com/players/1783978/bilal-obeid"/>
    <hyperlink ref="BD117" r:id="rId116" display="https://www.fotmob.com/players/559158/darren-smith"/>
    <hyperlink ref="BD118" r:id="rId117" display="https://www.fotmob.com/players/1042558/ates-diouf"/>
    <hyperlink ref="BD119" r:id="rId118" display="https://www.fotmob.com/players/1060350/jeciel-cedeno"/>
    <hyperlink ref="BD120" r:id="rId119" display="https://www.fotmob.com/players/749485/ben-morris"/>
    <hyperlink ref="BD121" r:id="rId120" display="https://www.fotmob.com/players/1457710/alexander-dalou"/>
    <hyperlink ref="BD122" r:id="rId121" display="https://www.fotmob.com/players/799488/chisom-egbuchulam"/>
    <hyperlink ref="BD123" r:id="rId122" display="https://www.fotmob.com/players/1057344/rafa-mentzingen"/>
    <hyperlink ref="BD124" r:id="rId123" display="https://www.fotmob.com/players/1042922/preston-tabort-etaka"/>
    <hyperlink ref="BD125" r:id="rId124" display="https://www.fotmob.com/players/1083799/kian-williams"/>
    <hyperlink ref="BD126" r:id="rId125" display="https://www.fotmob.com/players/1959674/cheikhou-niang"/>
    <hyperlink ref="BD127" r:id="rId126" display="https://www.fotmob.com/players/848040/abraham-romero"/>
    <hyperlink ref="BD128" r:id="rId127" display="https://www.fotmob.com/players/1172893/sebastian-mora-mora"/>
    <hyperlink ref="BD129" r:id="rId128" display="https://www.fotmob.com/players/1735919/pedro"/>
    <hyperlink ref="BD130" r:id="rId129" display="https://www.fotmob.com/players/1172158/trace-alphin"/>
    <hyperlink ref="BD131" r:id="rId130" display="https://www.fotmob.com/players/731364/tony-alfaro"/>
    <hyperlink ref="BD132" r:id="rId131" display="https://www.fotmob.com/players/890403/kofi-twumasi"/>
    <hyperlink ref="BD133" r:id="rId132" display="https://www.fotmob.com/players/418257/arturo-ortiz"/>
    <hyperlink ref="BD134" r:id="rId133" display="https://www.fotmob.com/players/1259935/ricky-ruiz"/>
    <hyperlink ref="BD135" r:id="rId134" display="https://www.fotmob.com/players/1250345/alvaro-quezada"/>
    <hyperlink ref="BD136" r:id="rId135" display="https://www.fotmob.com/players/1455534/noah-dollenmayer"/>
    <hyperlink ref="BD137" r:id="rId136" display="https://www.fotmob.com/players/1240356/nicolas-cardona"/>
    <hyperlink ref="BD138" r:id="rId137" display="https://www.fotmob.com/players/1724673/kenneth-hoban"/>
    <hyperlink ref="BD139" r:id="rId138" display="https://www.fotmob.com/players/1107287/carl-sainte"/>
    <hyperlink ref="BD140" r:id="rId139" display="https://www.fotmob.com/players/1078650/guillermo-diaz"/>
    <hyperlink ref="BD141" r:id="rId140" display="https://www.fotmob.com/players/1793923/joseluis-villagomez"/>
    <hyperlink ref="BD142" r:id="rId141" display="https://www.fotmob.com/players/805770/eric-calvillo"/>
    <hyperlink ref="BD143" r:id="rId142" display="https://www.fotmob.com/players/936528/alex-mendez"/>
    <hyperlink ref="BD144" r:id="rId143" display="https://www.fotmob.com/players/1059463/robert-coronado"/>
    <hyperlink ref="BD145" r:id="rId144" display="https://www.fotmob.com/players/1170999/gabi-torres"/>
    <hyperlink ref="BD146" r:id="rId145" display="https://www.fotmob.com/players/1448105/daniel-gomez"/>
    <hyperlink ref="BD147" r:id="rId146" display="https://www.fotmob.com/players/2026834/abdiel-guzman"/>
    <hyperlink ref="BD148" r:id="rId147" display="https://www.fotmob.com/players/2026835/xzavier-rede"/>
    <hyperlink ref="BD149" r:id="rId148" display="https://www.fotmob.com/players/570980/rubio-rubin"/>
    <hyperlink ref="BD150" r:id="rId149" display="https://www.fotmob.com/players/431435/amando-moreno"/>
    <hyperlink ref="BD151" r:id="rId150" display="https://www.fotmob.com/players/1078028/roberto-avila"/>
    <hyperlink ref="BD152" r:id="rId151" display="https://www.fotmob.com/players/1621324/jimmy-farkarlun"/>
    <hyperlink ref="BD153" r:id="rId152" display="https://www.fotmob.com/players/1358427/diego-abitia"/>
    <hyperlink ref="BD154" r:id="rId153" display="https://www.fotmob.com/players/1724677/omar-mora"/>
    <hyperlink ref="BD155" r:id="rId154" display="https://www.fotmob.com/players/1078226/zyen-jones"/>
    <hyperlink ref="BD156" r:id="rId155" display="https://www.fotmob.com/players/2297330/cristobal-fernandez"/>
    <hyperlink ref="BD157" r:id="rId156" display="https://www.fotmob.com/players/1381135/dane-jacomen"/>
    <hyperlink ref="BD158" r:id="rId157" display="https://www.fotmob.com/players/638991/alexander-tambakis"/>
    <hyperlink ref="BD159" r:id="rId158" display="https://www.fotmob.com/players/2090272/noah-adams"/>
    <hyperlink ref="BD160" r:id="rId159" display="https://www.fotmob.com/players/1712469/ian"/>
    <hyperlink ref="BD161" r:id="rId160" display="https://www.fotmob.com/players/923977/lucas-stauffer"/>
    <hyperlink ref="BD162" r:id="rId161" display="https://www.fotmob.com/players/860075/lamar-batista"/>
    <hyperlink ref="BD163" r:id="rId162" display="https://www.fotmob.com/players/1172998/abdoulaye-cissoko"/>
    <hyperlink ref="BD164" r:id="rId163" display="https://www.fotmob.com/players/1355679/delentz-pierre"/>
    <hyperlink ref="BD165" r:id="rId164" display="https://www.fotmob.com/players/1626133/joel-sangwa"/>
    <hyperlink ref="BD166" r:id="rId165" display="https://www.fotmob.com/players/793911/harvey-st-clair"/>
    <hyperlink ref="BD167" r:id="rId166" display="https://www.fotmob.com/players/1913765/alonzo-clarke"/>
    <hyperlink ref="BD168" r:id="rId167" display="https://www.fotmob.com/players/1715116/wilson-eisner"/>
    <hyperlink ref="BD169" r:id="rId168" display="https://www.fotmob.com/players/1613722/jeorgio-kocevski"/>
    <hyperlink ref="BD170" r:id="rId169" display="https://www.fotmob.com/players/851104/jamie-webber"/>
    <hyperlink ref="BD171" r:id="rId170" display="https://www.fotmob.com/players/1171033/bailey-sparks"/>
    <hyperlink ref="BD172" r:id="rId171" display="https://www.fotmob.com/players/1207848/giordano-colli"/>
    <hyperlink ref="BD173" r:id="rId172" display="https://www.fotmob.com/players/1252869/owen-damm"/>
    <hyperlink ref="BD174" r:id="rId173" display="https://www.fotmob.com/players/1171983/grant-robinson"/>
    <hyperlink ref="BD175" r:id="rId174" display="https://www.fotmob.com/players/1364155/stefan-lukic"/>
    <hyperlink ref="BD176" r:id="rId175" display="https://www.fotmob.com/players/1356036/boubacar-diallo"/>
    <hyperlink ref="BD177" r:id="rId176" display="https://www.fotmob.com/players/1928446/zion-siranga"/>
    <hyperlink ref="BD178" r:id="rId177" display="https://www.fotmob.com/players/653590/marcos-cerato"/>
    <hyperlink ref="BD179" r:id="rId178" display="https://www.fotmob.com/players/1269658/arquimides-ordonez"/>
    <hyperlink ref="BD180" r:id="rId179" display="https://www.fotmob.com/players/1060334/logan-dorsey"/>
    <hyperlink ref="BD181" r:id="rId180" display="https://www.fotmob.com/players/1244942/kalil-elmedkhar"/>
    <hyperlink ref="BD182" r:id="rId181" display="https://www.fotmob.com/players/1259810/remi-cabral"/>
    <hyperlink ref="BD183" r:id="rId182" display="https://www.fotmob.com/players/1255515/will-wilson"/>
    <hyperlink ref="BD184" r:id="rId183" display="https://www.fotmob.com/players/1343607/dylan-borczak"/>
    <hyperlink ref="BD185" r:id="rId184" display="https://www.fotmob.com/players/1175236/antony-siaha"/>
    <hyperlink ref="BD186" r:id="rId185" display="https://www.fotmob.com/players/1918809/enzo-balsini-de-gracia-e-carvalho"/>
    <hyperlink ref="BD187" r:id="rId186" display="https://www.fotmob.com/players/888046/jordan-scarlett"/>
    <hyperlink ref="BD188" r:id="rId187" display="https://www.fotmob.com/players/1398374/britton-fischer"/>
    <hyperlink ref="BD189" r:id="rId188" display="https://www.fotmob.com/players/502403/adrian-diz"/>
    <hyperlink ref="BD190" r:id="rId189" display="https://www.fotmob.com/players/1341110/arturo-ordonez"/>
    <hyperlink ref="BD191" r:id="rId190" display="https://www.fotmob.com/players/1724681/tj-presthus"/>
    <hyperlink ref="BD192" r:id="rId191" display="https://www.fotmob.com/players/889478/matt-real"/>
    <hyperlink ref="BD193" r:id="rId192" display="https://www.fotmob.com/players/1346115/junior-moreira"/>
    <hyperlink ref="BD194" r:id="rId193" display="https://www.fotmob.com/players/1037271/sebastian-anderson"/>
    <hyperlink ref="BD195" r:id="rId194" display="https://www.fotmob.com/players/1072821/barry-coffey"/>
    <hyperlink ref="BD196" r:id="rId195" display="https://www.fotmob.com/players/1141408/beverly-makangila"/>
    <hyperlink ref="BD197" r:id="rId196" display="https://www.fotmob.com/players/1170740/baboucarr-njie"/>
    <hyperlink ref="BD198" r:id="rId197" display="https://www.fotmob.com/players/848653/ben-mines"/>
    <hyperlink ref="BD199" r:id="rId198" display="https://www.fotmob.com/players/680789/christos-hadjipaschalis"/>
    <hyperlink ref="BD200" r:id="rId199" display="https://www.fotmob.com/players/1933135/galen-flynn"/>
    <hyperlink ref="BD201" r:id="rId200" display="https://www.fotmob.com/players/1336818/samuel-careaga"/>
    <hyperlink ref="BD202" r:id="rId201" display="https://www.fotmob.com/players/2189244/oscar-pearman"/>
    <hyperlink ref="BD203" r:id="rId202" display="https://www.fotmob.com/players/2189245/sean-canada"/>
    <hyperlink ref="BD204" r:id="rId203" display="https://www.fotmob.com/players/791668/augustine-williams"/>
    <hyperlink ref="BD205" r:id="rId204" display="https://www.fotmob.com/players/941144/michee-ngalina"/>
    <hyperlink ref="BD206" r:id="rId205" display="https://www.fotmob.com/players/1230428/emmanuel-samadia"/>
    <hyperlink ref="BD207" r:id="rId206" display="https://www.fotmob.com/players/1399546/sadat-anaku"/>
    <hyperlink ref="BD208" r:id="rId207" display="https://www.fotmob.com/players/1520743/michael-adedokun"/>
    <hyperlink ref="BD209" r:id="rId208" display="https://www.fotmob.com/players/1724684/adewale-obalola"/>
    <hyperlink ref="BD210" r:id="rId209" display="https://www.fotmob.com/players/1946325/abdullah-taofeek"/>
    <hyperlink ref="BD211" r:id="rId210" display="https://www.fotmob.com/players/1732545/spencer-gordon"/>
    <hyperlink ref="BD212" r:id="rId211" display="https://www.fotmob.com/players/924432/eric-dick"/>
    <hyperlink ref="BD213" r:id="rId212" display="https://www.fotmob.com/players/463910/reice-charles-cook"/>
    <hyperlink ref="BD214" r:id="rId213" display="https://www.fotmob.com/players/1724699/ryan-hunsucker"/>
    <hyperlink ref="BD215" r:id="rId214" display="https://www.fotmob.com/players/639374/aodhan-quinn"/>
    <hyperlink ref="BD216" r:id="rId215" display="https://www.fotmob.com/players/783608/paco-craig"/>
    <hyperlink ref="BD217" r:id="rId216" display="https://www.fotmob.com/players/1347962/anthony-herbert"/>
    <hyperlink ref="BD218" r:id="rId217" display="https://www.fotmob.com/players/1256231/joe-hafferty"/>
    <hyperlink ref="BD219" r:id="rId218" display="https://www.fotmob.com/players/1793931/makel-rasheed"/>
    <hyperlink ref="BD220" r:id="rId219" display="https://www.fotmob.com/players/1044783/alejandro-mitrano"/>
    <hyperlink ref="BD221" r:id="rId220" display="https://www.fotmob.com/players/1244947/nabilai-kibunguchy"/>
    <hyperlink ref="BD222" r:id="rId221" display="https://www.fotmob.com/players/516000/hayden-white"/>
    <hyperlink ref="BD223" r:id="rId222" display="https://www.fotmob.com/players/1627007/hesron-barry"/>
    <hyperlink ref="BD224" r:id="rId223" display="https://www.fotmob.com/players/1261592/patrick-hogan"/>
    <hyperlink ref="BD225" r:id="rId224" display="https://www.fotmob.com/players/924497/cam-lindley"/>
    <hyperlink ref="BD226" r:id="rId225" display="https://www.fotmob.com/players/1393400/josh-o-brien"/>
    <hyperlink ref="BD227" r:id="rId226" display="https://www.fotmob.com/players/421766/jack-blake"/>
    <hyperlink ref="BD228" r:id="rId227" display="https://www.fotmob.com/players/1615692/mohamed-omar"/>
    <hyperlink ref="BD229" r:id="rId228" display="https://www.fotmob.com/players/1349934/bruno-rendon"/>
    <hyperlink ref="BD230" r:id="rId229" display="https://www.fotmob.com/players/1349074/loic-mesanvi"/>
    <hyperlink ref="BD231" r:id="rId230" display="https://www.fotmob.com/players/1246572/edward-kizza"/>
    <hyperlink ref="BD232" r:id="rId231" display="https://www.fotmob.com/players/1606022/malik-henry-scott"/>
    <hyperlink ref="BD233" r:id="rId232" display="https://www.fotmob.com/players/1637791/charlie-sharp"/>
    <hyperlink ref="BD234" r:id="rId233" display="https://www.fotmob.com/players/1641223/dylan-sing"/>
    <hyperlink ref="BD235" r:id="rId234" display="https://www.fotmob.com/players/2009299/tyler-lowden"/>
    <hyperlink ref="BD236" r:id="rId235" display="https://www.fotmob.com/players/1928363/charlie-lanphier"/>
    <hyperlink ref="BD237" r:id="rId236" display="https://www.fotmob.com/players/1067383/triston-henry"/>
    <hyperlink ref="BD238" r:id="rId237" display="https://www.fotmob.com/players/1724704/carver-miller"/>
    <hyperlink ref="BD239" r:id="rId238" display="https://www.fotmob.com/players/2009303/joshua-moya"/>
    <hyperlink ref="BD240" r:id="rId239" display="https://www.fotmob.com/players/729785/aaron-guillen"/>
    <hyperlink ref="BD241" r:id="rId240" display="https://www.fotmob.com/players/1259223/themi-antonoglou"/>
    <hyperlink ref="BD242" r:id="rId241" display="https://www.fotmob.com/players/1610220/nate-jones"/>
    <hyperlink ref="BD243" r:id="rId242" display="https://www.fotmob.com/players/1542157/nyk-sessock"/>
    <hyperlink ref="BD244" r:id="rId243" display="https://www.fotmob.com/players/1252109/blake-pope"/>
    <hyperlink ref="BD245" r:id="rId244" display="https://www.fotmob.com/players/942835/ben-ofeimu"/>
    <hyperlink ref="BD246" r:id="rId245" display="https://www.fotmob.com/players/1615816/shawn-smart"/>
    <hyperlink ref="BD247" r:id="rId246" display="https://www.fotmob.com/players/1638563/callum-stretch"/>
    <hyperlink ref="BD248" r:id="rId247" display="https://www.fotmob.com/players/1341112/marc-ybarra"/>
    <hyperlink ref="BD249" r:id="rId248" display="https://www.fotmob.com/players/1644436/giorgio-probo"/>
    <hyperlink ref="BD250" r:id="rId249" display="https://www.fotmob.com/players/1767539/carson-locker"/>
    <hyperlink ref="BD251" r:id="rId250" display="https://www.fotmob.com/players/1276879/abraham-okyere"/>
    <hyperlink ref="BD252" r:id="rId251" display="https://www.fotmob.com/players/759820/kyle-scott"/>
    <hyperlink ref="BD253" r:id="rId252" display="https://www.fotmob.com/players/1368334/patrick-leal"/>
    <hyperlink ref="BD254" r:id="rId253" display="https://www.fotmob.com/players/1174821/edison-azcona"/>
    <hyperlink ref="BD255" r:id="rId254" display="https://www.fotmob.com/players/1308379/christian-pinzon"/>
    <hyperlink ref="BD256" r:id="rId255" display="https://www.fotmob.com/players/1253163/jonathan-rodriguez"/>
    <hyperlink ref="BD257" r:id="rId256" display="https://www.fotmob.com/players/521306/oalex-anderson"/>
    <hyperlink ref="BD258" r:id="rId257" display="https://www.fotmob.com/players/242923/manuel-arteaga"/>
    <hyperlink ref="BD259" r:id="rId258" display="https://www.fotmob.com/players/1448069/oliver-semmle"/>
    <hyperlink ref="BD260" r:id="rId259" display="https://www.fotmob.com/players/838225/logan-ketterer"/>
    <hyperlink ref="BD261" r:id="rId260" display="https://www.fotmob.com/players/1083232/brooks-thompson"/>
    <hyperlink ref="BD262" r:id="rId261" display="https://www.fotmob.com/players/1921045/garrett-addams"/>
    <hyperlink ref="BD263" r:id="rId262" display="https://www.fotmob.com/players/1338616/kendall-burks"/>
    <hyperlink ref="BD264" r:id="rId263" display="https://www.fotmob.com/players/1190665/jacob-greene"/>
    <hyperlink ref="BD265" r:id="rId264" display="https://www.fotmob.com/players/1440019/xavier-zengue"/>
    <hyperlink ref="BD266" r:id="rId265" display="https://www.fotmob.com/players/876136/javain-brown"/>
    <hyperlink ref="BD267" r:id="rId266" display="https://www.fotmob.com/players/1238237/marqes-muir"/>
    <hyperlink ref="BD268" r:id="rId267" display="https://www.fotmob.com/players/1136639/patrick-seagrist"/>
    <hyperlink ref="BD269" r:id="rId268" display="https://www.fotmob.com/players/1921044/andrew-caborn"/>
    <hyperlink ref="BD270" r:id="rId269" display="https://www.fotmob.com/players/2164866/brady-stockton"/>
    <hyperlink ref="BD271" r:id="rId270" display="https://www.fotmob.com/players/1346890/blaine-ferri"/>
    <hyperlink ref="BD272" r:id="rId271" display="https://www.fotmob.com/players/731870/aaron-molloy"/>
    <hyperlink ref="BD273" r:id="rId272" display="https://www.fotmob.com/players/1026160/nick-firmino"/>
    <hyperlink ref="BD274" r:id="rId273" display="https://www.fotmob.com/players/1016092/noble-okello"/>
    <hyperlink ref="BD275" r:id="rId274" display="https://www.fotmob.com/players/1188643/braudilio-rodrigues"/>
    <hyperlink ref="BD276" r:id="rId275" display="https://www.fotmob.com/players/1468886/cielo-tschantret"/>
    <hyperlink ref="BD277" r:id="rId276" display="https://www.fotmob.com/players/1997564/trenton-kutch"/>
    <hyperlink ref="BD278" r:id="rId277" display="https://www.fotmob.com/players/769782/luis-felipe"/>
    <hyperlink ref="BD279" r:id="rId278" display="https://www.fotmob.com/players/825666/marcus-epps"/>
    <hyperlink ref="BD280" r:id="rId279" display="https://www.fotmob.com/players/1134448/phillip-goodrum"/>
    <hyperlink ref="BD281" r:id="rId280" display="https://www.fotmob.com/players/1351047/tarik-scott"/>
    <hyperlink ref="BD282" r:id="rId281" display="https://www.fotmob.com/players/1403414/malcolm-fry"/>
    <hyperlink ref="BD283" r:id="rId282" display="https://www.fotmob.com/players/825619/jonathan-lewis"/>
    <hyperlink ref="BD284" r:id="rId283" display="https://www.fotmob.com/players/1447918/milo-yosef"/>
    <hyperlink ref="BD285" r:id="rId284" display="https://www.fotmob.com/players/1935080/jonathan-stout"/>
    <hyperlink ref="BD286" r:id="rId285" display="https://www.fotmob.com/players/1346730/ethan-bandre"/>
    <hyperlink ref="BD287" r:id="rId286" display="https://www.fotmob.com/players/1078951/jordan-farr"/>
    <hyperlink ref="BD288" r:id="rId287" display="https://www.fotmob.com/players/825620/kwame-awuah"/>
    <hyperlink ref="BD289" r:id="rId288" display="https://www.fotmob.com/players/675538/bolu-akinyode"/>
    <hyperlink ref="BD290" r:id="rId289" display="https://www.fotmob.com/players/1719157/noah-adnan"/>
    <hyperlink ref="BD291" r:id="rId290" display="https://www.fotmob.com/players/915626/pacifique-niyongabire"/>
    <hyperlink ref="BD292" r:id="rId291" display="https://www.fotmob.com/players/1500407/salvatore-mazzaferro"/>
    <hyperlink ref="BD293" r:id="rId292" display="https://www.fotmob.com/players/1338758/jacob-erlandson"/>
    <hyperlink ref="BD294" r:id="rId293" display="https://www.fotmob.com/players/1611219/aidan-o-connor"/>
    <hyperlink ref="BD295" r:id="rId294" display="https://www.fotmob.com/players/1109656/ezra-armstrong"/>
    <hyperlink ref="BD296" r:id="rId295" display="https://www.fotmob.com/players/2030039/liam-barrus"/>
    <hyperlink ref="BD297" r:id="rId296" display="https://www.fotmob.com/players/780567/james-murphy"/>
    <hyperlink ref="BD298" r:id="rId297" display="https://www.fotmob.com/players/1459269/richard-aman"/>
    <hyperlink ref="BD299" r:id="rId298" display="https://www.fotmob.com/players/281628/pedro-santos"/>
    <hyperlink ref="BD300" r:id="rId299" display="https://www.fotmob.com/players/1358177/jack-panayotou"/>
    <hyperlink ref="BD301" r:id="rId300" display="https://www.fotmob.com/players/1346863/marcos-dias"/>
    <hyperlink ref="BD302" r:id="rId301" display="https://www.fotmob.com/players/1309795/sean-young"/>
    <hyperlink ref="BD303" r:id="rId302" display="https://www.fotmob.com/players/1079296/akil-watts"/>
    <hyperlink ref="BD304" r:id="rId303" display="https://www.fotmob.com/players/1576399/luca-piras"/>
    <hyperlink ref="BD305" r:id="rId304" display="https://www.fotmob.com/players/1216799/rida-zouhir"/>
    <hyperlink ref="BD306" r:id="rId305" display="https://www.fotmob.com/players/1252526/abdellatif-aboukoura"/>
    <hyperlink ref="BD307" r:id="rId306" display="https://www.fotmob.com/players/1166560/christian-torres"/>
    <hyperlink ref="BD308" r:id="rId307" display="https://www.fotmob.com/players/1374959/eddy-davis-iii"/>
    <hyperlink ref="BD309" r:id="rId308" display="https://www.fotmob.com/players/1241617/giorgi-lomtadze"/>
    <hyperlink ref="BD310" r:id="rId309" display="https://www.fotmob.com/players/1647585/liam-butts"/>
    <hyperlink ref="BD311" r:id="rId310" display="https://www.fotmob.com/players/1192554/danny-faundez"/>
    <hyperlink ref="BD312" r:id="rId311" display="https://www.fotmob.com/players/1252620/hugo-fauroux"/>
    <hyperlink ref="BD313" r:id="rId312" display="https://www.fotmob.com/players/1642172/ryan-schewe"/>
    <hyperlink ref="BD314" r:id="rId313" display="https://www.fotmob.com/players/1652403/ryan-troutman"/>
    <hyperlink ref="BD315" r:id="rId314" display="https://www.fotmob.com/players/2297260/collin-haus"/>
    <hyperlink ref="BD316" r:id="rId315" display="https://www.fotmob.com/players/1072318/kyle-adams"/>
    <hyperlink ref="BD317" r:id="rId316" display="https://www.fotmob.com/players/681621/sean-totsch"/>
    <hyperlink ref="BD318" r:id="rId317" display="https://www.fotmob.com/players/1678153/brandon-dayes"/>
    <hyperlink ref="BD319" r:id="rId318" display="https://www.fotmob.com/players/1252865/carlos-moguel"/>
    <hyperlink ref="BD320" r:id="rId319" display="https://www.fotmob.com/players/1516711/josh-jones"/>
    <hyperlink ref="BD321" r:id="rId320" display="https://www.fotmob.com/players/1251788/taylor-davila"/>
    <hyperlink ref="BD322" r:id="rId321" display="https://www.fotmob.com/players/1615825/jansen-wilson"/>
    <hyperlink ref="BD323" r:id="rId322" display="https://www.fotmob.com/players/1250356/aiden-mcfadden"/>
    <hyperlink ref="BD324" r:id="rId323" display="https://www.fotmob.com/players/1338761/jake-morris"/>
    <hyperlink ref="BD325" r:id="rId324" display="https://www.fotmob.com/players/1083224/ray-serrano"/>
    <hyperlink ref="BD326" r:id="rId325" display="https://www.fotmob.com/players/1018588/manny-perez"/>
    <hyperlink ref="BD327" r:id="rId326" display="https://www.fotmob.com/players/1030785/zach-duncan"/>
    <hyperlink ref="BD328" r:id="rId327" display="https://www.fotmob.com/players/621932/amadou-dia"/>
    <hyperlink ref="BD329" r:id="rId328" display="https://www.fotmob.com/players/822741/kevon-lambert"/>
    <hyperlink ref="BD330" r:id="rId329" display="https://www.fotmob.com/players/1035619/sam-gleadle"/>
    <hyperlink ref="BD331" r:id="rId330" display="https://www.fotmob.com/players/1780447/babacar-niang"/>
    <hyperlink ref="BD332" r:id="rId331" display="https://www.fotmob.com/players/1166263/cameron-duke"/>
    <hyperlink ref="BD333" r:id="rId332" display="https://www.fotmob.com/players/1346897/chris-donovan"/>
    <hyperlink ref="BD334" r:id="rId333" display="https://www.fotmob.com/players/1623834/evan-davila"/>
    <hyperlink ref="BD335" r:id="rId334" display="https://www.fotmob.com/players/973779/mukwelle-akale"/>
    <hyperlink ref="BD336" r:id="rId335" display="https://www.fotmob.com/players/1448115/tola-showunmi"/>
    <hyperlink ref="BD337" r:id="rId336" display="https://www.fotmob.com/players/1615750/quenzi-huerman"/>
    <hyperlink ref="BD338" r:id="rId337" display="https://www.fotmob.com/players/2110953/cooper-conley"/>
    <hyperlink ref="BD339" r:id="rId338" display="https://www.fotmob.com/players/150242/eloy-room"/>
    <hyperlink ref="BD340" r:id="rId339" display="https://www.fotmob.com/players/1640878/felipe-rodriguez"/>
    <hyperlink ref="BD341" r:id="rId340" display="https://www.fotmob.com/players/2084621/cristian-blanco"/>
    <hyperlink ref="BD342" r:id="rId341" display="https://www.fotmob.com/players/2030061/julian-rodriguez"/>
    <hyperlink ref="BD343" r:id="rId342" display="https://www.fotmob.com/players/1923044/gavin-gonsalves"/>
    <hyperlink ref="BD344" r:id="rId343" display="https://www.fotmob.com/players/1006668/alessandro-milesi"/>
    <hyperlink ref="BD345" r:id="rId344" display="https://www.fotmob.com/players/1082131/daltyn-knutson"/>
    <hyperlink ref="BD346" r:id="rId345" display="https://www.fotmob.com/players/1455128/angelo-calfo"/>
    <hyperlink ref="BD347" r:id="rId346" display="https://www.fotmob.com/players/1666352/bachir-ndiaye"/>
    <hyperlink ref="BD348" r:id="rId347" display="https://www.fotmob.com/players/1170994/arthur-rogers"/>
    <hyperlink ref="BD349" r:id="rId348" display="https://www.fotmob.com/players/1081944/tulu"/>
    <hyperlink ref="BD350" r:id="rId349" display="https://www.fotmob.com/players/1431293/harwan-al-zubaidi"/>
    <hyperlink ref="BD351" r:id="rId350" display="https://www.fotmob.com/players/668489/jonathan-levin"/>
    <hyperlink ref="BD352" r:id="rId351" display="https://www.fotmob.com/players/1967853/jeremy-medranda"/>
    <hyperlink ref="BD353" r:id="rId352" display="https://www.fotmob.com/players/2130545/justin-white"/>
    <hyperlink ref="BD354" r:id="rId353" display="https://www.fotmob.com/players/660079/matias-romero"/>
    <hyperlink ref="BD355" r:id="rId354" display="https://www.fotmob.com/players/1035025/rodrigo-da-costa"/>
    <hyperlink ref="BD356" r:id="rId355" display="https://www.fotmob.com/players/1610327/riyon-tori"/>
    <hyperlink ref="BD357" r:id="rId356" display="https://www.fotmob.com/players/643612/joel-sonora"/>
    <hyperlink ref="BD358" r:id="rId357" display="https://www.fotmob.com/players/855287/gerald-diaz"/>
    <hyperlink ref="BD359" r:id="rId358" display="https://www.fotmob.com/players/1524674/tommy-musto"/>
    <hyperlink ref="BD360" r:id="rId359" display="https://www.fotmob.com/players/1938728/mame-diallo"/>
    <hyperlink ref="BD361" r:id="rId360" display="https://www.fotmob.com/players/1392871/arney-rocha"/>
    <hyperlink ref="BD362" r:id="rId361" display="https://www.fotmob.com/players/1626466/mason-tunbridge"/>
    <hyperlink ref="BD363" r:id="rId362" display="https://www.fotmob.com/players/1421734/denilson-milanes"/>
    <hyperlink ref="BD364" r:id="rId363" display="https://www.fotmob.com/players/1804489/diego-mello"/>
    <hyperlink ref="BD365" r:id="rId364" display="https://www.fotmob.com/players/2130546/massimo-mlekus"/>
    <hyperlink ref="BD366" r:id="rId365" display="https://www.fotmob.com/players/1339415/jacob-jackson"/>
    <hyperlink ref="BD367" r:id="rId366" display="https://www.fotmob.com/players/1261616/fernando-delgado"/>
    <hyperlink ref="BD368" r:id="rId367" display="https://www.fotmob.com/players/1190741/ciaran-dalton"/>
    <hyperlink ref="BD369" r:id="rId368" display="https://www.fotmob.com/players/1190745/zack-farnsworth"/>
    <hyperlink ref="BD370" r:id="rId369" display="https://www.fotmob.com/players/1626139/joel-garcia"/>
    <hyperlink ref="BD371" r:id="rId370" display="https://www.fotmob.com/players/1682712/kelsey-egwu"/>
    <hyperlink ref="BD372" r:id="rId371" display="https://www.fotmob.com/players/1159160/nicholas-gordon"/>
    <hyperlink ref="BD373" r:id="rId372" display="https://www.fotmob.com/players/1372216/stuart-ritchie"/>
    <hyperlink ref="BD374" r:id="rId373" display="https://www.fotmob.com/players/1079865/luka-malesevic"/>
    <hyperlink ref="BD375" r:id="rId374" display="https://www.fotmob.com/players/1780532/quinton-elliot"/>
    <hyperlink ref="BD376" r:id="rId375" display="https://www.fotmob.com/players/1897440/abdel-talabi"/>
    <hyperlink ref="BD377" r:id="rId376" display="https://www.fotmob.com/players/1921665/andres-o-neal"/>
    <hyperlink ref="BD378" r:id="rId377" display="https://www.fotmob.com/players/2009302/diego-carbajal"/>
    <hyperlink ref="BD379" r:id="rId378" display="https://www.fotmob.com/players/1358343/ryuga-nakamura"/>
    <hyperlink ref="BD380" r:id="rId379" display="https://www.fotmob.com/players/181255/nick-ross"/>
    <hyperlink ref="BD381" r:id="rId380" display="https://www.fotmob.com/players/411629/sebastian-lletget"/>
    <hyperlink ref="BD382" r:id="rId381" display="https://www.fotmob.com/players/1650450/belmar-joseph"/>
    <hyperlink ref="BD383" r:id="rId382" display="https://www.fotmob.com/players/1348326/eduardo-blancas"/>
    <hyperlink ref="BD384" r:id="rId383" display="https://www.fotmob.com/players/1283365/jacob-montes"/>
    <hyperlink ref="BD385" r:id="rId384" display="https://www.fotmob.com/players/1350176/facundo-canete"/>
    <hyperlink ref="BD386" r:id="rId385" display="https://www.fotmob.com/players/575317/judson"/>
    <hyperlink ref="BD387" r:id="rId386" display="https://www.fotmob.com/players/1921664/ballack-villasana"/>
    <hyperlink ref="BD388" r:id="rId387" display="https://www.fotmob.com/players/2303352/julian-pakbaz"/>
    <hyperlink ref="BD389" r:id="rId388" display="https://www.fotmob.com/players/1082953/ilijah-paul"/>
    <hyperlink ref="BD390" r:id="rId389" display="https://www.fotmob.com/players/1240376/omari-glasgow"/>
    <hyperlink ref="BD391" r:id="rId390" display="https://www.fotmob.com/players/1447989/wesley-leggett"/>
    <hyperlink ref="BD392" r:id="rId391" display="https://www.fotmob.com/players/1406105/fidel-barajas"/>
    <hyperlink ref="BD393" r:id="rId392" display="https://www.fotmob.com/players/1364473/diego-otoya"/>
    <hyperlink ref="BD394" r:id="rId393" display="https://www.fotmob.com/players/1344758/adrian-rebollar"/>
    <hyperlink ref="BD395" r:id="rId394" display="https://www.fotmob.com/players/1168844/kristopher-shakes"/>
    <hyperlink ref="BD396" r:id="rId395" display="https://www.fotmob.com/players/1252101/raiko-arozarena"/>
    <hyperlink ref="BD397" r:id="rId396" display="https://www.fotmob.com/players/1252224/andrew-pannenberg"/>
    <hyperlink ref="BD398" r:id="rId397" display="https://www.fotmob.com/players/2119828/edwin-ortiz"/>
    <hyperlink ref="BD399" r:id="rId398" display="https://www.fotmob.com/players/662981/niko-hamalainen"/>
    <hyperlink ref="BD400" r:id="rId399" display="https://www.fotmob.com/players/1054030/christopher-gloster"/>
    <hyperlink ref="BD401" r:id="rId400" display="https://www.fotmob.com/players/1339430/kipp-keller"/>
    <hyperlink ref="BD402" r:id="rId401" display="https://www.fotmob.com/players/1171307/jake-lacava"/>
    <hyperlink ref="BD403" r:id="rId402" display="https://www.fotmob.com/players/1420380/maliek-howell"/>
    <hyperlink ref="BD404" r:id="rId403" display="https://www.fotmob.com/players/501040/tyler-blackett"/>
    <hyperlink ref="BD405" r:id="rId404" display="https://www.fotmob.com/players/1460330/ousman-jabang"/>
    <hyperlink ref="BD406" r:id="rId405" display="https://www.fotmob.com/players/1075639/zico-bailey"/>
    <hyperlink ref="BD407" r:id="rId406" display="https://www.fotmob.com/players/959425/valentin-noel"/>
    <hyperlink ref="BD408" r:id="rId407" display="https://www.fotmob.com/players/1172876/cullen-wilkerson"/>
    <hyperlink ref="BD409" r:id="rId408" display="https://www.fotmob.com/players/481387/gedion-zelalem"/>
    <hyperlink ref="BD410" r:id="rId409" display="https://www.fotmob.com/players/1339365/sofiane-djeffal"/>
    <hyperlink ref="BD411" r:id="rId410" display="https://www.fotmob.com/players/1082057/marlon-vargas"/>
    <hyperlink ref="BD412" r:id="rId411" display="https://www.fotmob.com/players/2181028/winston-starr"/>
    <hyperlink ref="BD413" r:id="rId412" display="https://www.fotmob.com/players/632285/greg-hurst"/>
    <hyperlink ref="BD414" r:id="rId413" display="https://www.fotmob.com/players/1240864/niall-reid-stephen"/>
    <hyperlink ref="BD415" r:id="rId414" display="https://www.fotmob.com/players/1172427/dayonn-harris"/>
    <hyperlink ref="BD416" r:id="rId415" display="https://www.fotmob.com/players/1057932/charlie-dennis"/>
    <hyperlink ref="BD417" r:id="rId416" display="https://www.fotmob.com/players/1272104/cristian-nava"/>
    <hyperlink ref="BD418" r:id="rId417" display="https://www.fotmob.com/players/1005796/luther-archimede"/>
    <hyperlink ref="BD419" r:id="rId418" display="https://www.fotmob.com/players/1026140/justin-rennicks"/>
    <hyperlink ref="BD420" r:id="rId419" display="https://www.fotmob.com/players/1780460/joseph-quiah"/>
    <hyperlink ref="BD421" r:id="rId420" display="https://www.fotmob.com/players/533126/kendall-mcintosh"/>
    <hyperlink ref="BD422" r:id="rId421" display="https://www.fotmob.com/players/198033/raphael-spiegel"/>
    <hyperlink ref="BD423" r:id="rId422" display="https://www.fotmob.com/players/2221958/julian-escobar"/>
    <hyperlink ref="BD424" r:id="rId423" display="https://www.fotmob.com/players/2141086/devon-taylor"/>
    <hyperlink ref="BD425" r:id="rId424" display="https://www.fotmob.com/players/1252225/michael-edwards"/>
    <hyperlink ref="BD426" r:id="rId425" display="https://www.fotmob.com/players/1919772/jesus-de-vicente"/>
    <hyperlink ref="BD427" r:id="rId426" display="https://www.fotmob.com/players/675103/neveal-hackshaw"/>
    <hyperlink ref="BD428" r:id="rId427" display="https://www.fotmob.com/players/1366626/julian-bravo"/>
    <hyperlink ref="BD429" r:id="rId428" display="https://www.fotmob.com/players/1520643/david-garcia"/>
    <hyperlink ref="BD430" r:id="rId429" display="https://www.fotmob.com/players/1439996/keegan-tingey"/>
    <hyperlink ref="BD431" r:id="rId430" display="https://www.fotmob.com/players/1675563/mark-fisher"/>
    <hyperlink ref="BD432" r:id="rId431" display="https://www.fotmob.com/players/1928454/emilio-sorrosa"/>
    <hyperlink ref="BD433" r:id="rId432" display="https://www.fotmob.com/players/1919767/jonathan-polio"/>
    <hyperlink ref="BD434" r:id="rId433" display="https://www.fotmob.com/players/2303358/emiliano-arana"/>
    <hyperlink ref="BD435" r:id="rId434" display="https://www.fotmob.com/players/741993/tommy-mccabe"/>
    <hyperlink ref="BD436" r:id="rId435" display="https://www.fotmob.com/players/1242220/bobosi-byaruhanga"/>
    <hyperlink ref="BD437" r:id="rId436" display="https://www.fotmob.com/players/768896/florian-valot"/>
    <hyperlink ref="BD438" r:id="rId437" display="https://www.fotmob.com/players/1440011/bertin-jacquesson"/>
    <hyperlink ref="BD439" r:id="rId438" display="https://www.fotmob.com/players/1168320/bruno-lapa"/>
    <hyperlink ref="BD440" r:id="rId439" display="https://www.fotmob.com/players/756396/tyler-gibson"/>
    <hyperlink ref="BD441" r:id="rId440" display="https://www.fotmob.com/players/1083234/tucker-lepley"/>
    <hyperlink ref="BD442" r:id="rId441" display="https://www.fotmob.com/players/2101228/etienne-lopez"/>
    <hyperlink ref="BD443" r:id="rId442" display="https://www.fotmob.com/players/2140684/gavin-stone"/>
    <hyperlink ref="BD444" r:id="rId443" display="https://www.fotmob.com/players/2009300/charlie-wachs"/>
    <hyperlink ref="BD445" r:id="rId444" display="https://www.fotmob.com/players/1928453/luka-rosic"/>
    <hyperlink ref="BD446" r:id="rId445" display="https://www.fotmob.com/players/1285619/wolfgang-prentice"/>
    <hyperlink ref="BD447" r:id="rId446" display="https://www.fotmob.com/players/627857/peter-wilson"/>
    <hyperlink ref="BD448" r:id="rId447" display="https://www.fotmob.com/players/959244/faysal-bettache"/>
    <hyperlink ref="BD449" r:id="rId448" display="https://www.fotmob.com/players/1179783/danny-trejo"/>
    <hyperlink ref="BD450" r:id="rId449" display="https://www.fotmob.com/players/1921667/jackson-kiil"/>
    <hyperlink ref="BD451" r:id="rId450" display="https://www.fotmob.com/players/1257972/alex-rando"/>
    <hyperlink ref="BD452" r:id="rId451" display="https://www.fotmob.com/players/1645554/tetsuya-kadono"/>
    <hyperlink ref="BD453" r:id="rId452" display="https://www.fotmob.com/players/2119830/jack-gentile"/>
    <hyperlink ref="BD454" r:id="rId453" display="https://www.fotmob.com/players/858006/tom-brewitt"/>
    <hyperlink ref="BD455" r:id="rId454" display="https://www.fotmob.com/players/1338699/nico-benalcazar"/>
    <hyperlink ref="BD456" r:id="rId455" display="https://www.fotmob.com/players/1170742/garrison-tubbs"/>
    <hyperlink ref="BD457" r:id="rId456" display="https://www.fotmob.com/players/739732/ryan-doghman"/>
    <hyperlink ref="BD458" r:id="rId457" display="https://www.fotmob.com/players/1503398/mouhamadou-war"/>
    <hyperlink ref="BD459" r:id="rId458" display="https://www.fotmob.com/players/1781044/tyson-espy"/>
    <hyperlink ref="BD460" r:id="rId459" display="https://www.fotmob.com/players/924434/jaylin-lindsey"/>
    <hyperlink ref="BD461" r:id="rId460" display="https://www.fotmob.com/players/1769553/nicola-ciotta"/>
    <hyperlink ref="BD462" r:id="rId461" display="https://www.fotmob.com/players/1642676/grayson-doody"/>
    <hyperlink ref="BD463" r:id="rId462" display="https://www.fotmob.com/players/2042058/finn-o-brien"/>
    <hyperlink ref="BD464" r:id="rId463" display="https://www.fotmob.com/players/955005/stephen-kelly"/>
    <hyperlink ref="BD465" r:id="rId464" display="https://www.fotmob.com/players/1138504/christopher-hegardt"/>
    <hyperlink ref="BD466" r:id="rId465" display="https://www.fotmob.com/players/1614618/ousmane-sylla"/>
    <hyperlink ref="BD467" r:id="rId466" display="https://www.fotmob.com/players/1804503/efren-solis"/>
    <hyperlink ref="BD468" r:id="rId467" display="https://www.fotmob.com/players/1136257/marcelo-palomino"/>
    <hyperlink ref="BD469" r:id="rId468" display="https://www.fotmob.com/players/937937/kevin-partida"/>
    <hyperlink ref="BD470" r:id="rId469" display="https://www.fotmob.com/players/2221959/paul-ngoie"/>
    <hyperlink ref="BD471" r:id="rId470" display="https://www.fotmob.com/players/1472288/lyam-mackinnon"/>
    <hyperlink ref="BD472" r:id="rId471" display="https://www.fotmob.com/players/1634983/yaniv-bazini"/>
    <hyperlink ref="BD473" r:id="rId472" display="https://www.fotmob.com/players/738060/ethan-zubak"/>
    <hyperlink ref="BD474" r:id="rId473" display="https://www.fotmob.com/players/1756472/jamir-johnson"/>
    <hyperlink ref="BD475" r:id="rId474" display="https://www.fotmob.com/players/1439802/brandon-cambridge"/>
    <hyperlink ref="BD476" r:id="rId475" display="https://www.fotmob.com/players/1299720/mataeo-bunbury"/>
    <hyperlink ref="BD477" r:id="rId476" display="https://www.fotmob.com/players/1780592/apolo-marinch"/>
    <hyperlink ref="BD478" r:id="rId477" display="https://www.fotmob.com/players/1760451/sydney-wathuta"/>
    <hyperlink ref="BD479" r:id="rId478" display="https://www.fotmob.com/players/2068688/jerome-carter"/>
    <hyperlink ref="BD480" r:id="rId479" display="https://www.fotmob.com/players/2068689/joaquin-castro"/>
    <hyperlink ref="BD481" r:id="rId480" display="https://www.fotmob.com/players/2140685/elijah-nelson"/>
    <hyperlink ref="BD482" r:id="rId481" display="https://www.fotmob.com/players/278865/patrick-rakovsky"/>
    <hyperlink ref="BD483" r:id="rId482" display="https://www.fotmob.com/players/1205694/chituru-odunze"/>
    <hyperlink ref="BD484" r:id="rId483" display="https://www.fotmob.com/players/1793926/tristan-shaw"/>
    <hyperlink ref="BD485" r:id="rId484" display="https://www.fotmob.com/players/1188662/collin-smith"/>
    <hyperlink ref="BD486" r:id="rId485" display="https://www.fotmob.com/players/1341109/luke-biasi"/>
    <hyperlink ref="BD487" r:id="rId486" display="https://www.fotmob.com/players/1611497/pape-boye"/>
    <hyperlink ref="BD488" r:id="rId487" display="https://www.fotmob.com/players/1190668/daniel-flores"/>
    <hyperlink ref="BD489" r:id="rId488" display="https://www.fotmob.com/players/1276594/ascel-essengue"/>
    <hyperlink ref="BD490" r:id="rId489" display="https://www.fotmob.com/players/1611869/adrian-pelayo"/>
    <hyperlink ref="BD491" r:id="rId490" display="https://www.fotmob.com/players/335412/rafael-czichos"/>
    <hyperlink ref="BD492" r:id="rId491" display="https://www.fotmob.com/players/1025951/tate-schmitt"/>
    <hyperlink ref="BD493" r:id="rId492" display="https://www.fotmob.com/players/1927872/eziah-ramirez"/>
    <hyperlink ref="BD494" r:id="rId493" display="https://www.fotmob.com/players/1933245/jackson-gaydon"/>
    <hyperlink ref="BD495" r:id="rId494" display="https://www.fotmob.com/players/1975689/noah-cross"/>
    <hyperlink ref="BD496" r:id="rId495" display="https://www.fotmob.com/players/1732593/pierce-rizzo"/>
    <hyperlink ref="BD497" r:id="rId496" display="https://www.fotmob.com/players/1178826/john-scearce"/>
    <hyperlink ref="BD498" r:id="rId497" display="https://www.fotmob.com/players/1583143/jean-moursou"/>
    <hyperlink ref="BD499" r:id="rId498" display="https://www.fotmob.com/players/1327189/diego-gomez"/>
    <hyperlink ref="BD500" r:id="rId499" display="https://www.fotmob.com/players/1433071/juan-torres"/>
    <hyperlink ref="BD501" r:id="rId500" display="https://www.fotmob.com/players/1921660/jaethan-irwin"/>
    <hyperlink ref="BD502" r:id="rId501" display="https://www.fotmob.com/players/756429/ihsan-sacko"/>
    <hyperlink ref="BD503" r:id="rId502" display="https://www.fotmob.com/players/1346891/hope-avayevu"/>
    <hyperlink ref="BD504" r:id="rId503" display="https://www.fotmob.com/players/621537/dominique-badji"/>
    <hyperlink ref="BD505" r:id="rId504" display="https://www.fotmob.com/players/1240740/gunnar-studenhofft"/>
    <hyperlink ref="BD506" r:id="rId505" display="https://www.fotmob.com/players/1136412/damian-rivera"/>
    <hyperlink ref="BD507" r:id="rId506" display="https://www.fotmob.com/players/794855/kelvin-arase"/>
    <hyperlink ref="BD508" r:id="rId507" display="https://www.fotmob.com/players/2090275/conrad-ambursley"/>
    <hyperlink ref="BD509" r:id="rId508" display="https://www.fotmob.com/players/1780761/anthony-capetillo-hernandez"/>
    <hyperlink ref="BD510" r:id="rId509" display="https://www.fotmob.com/players/1732592/cyrus-kowall"/>
    <hyperlink ref="BD511" r:id="rId510" display="https://www.fotmob.com/players/1751994/alexander-balanzar-de-la-cruz"/>
    <hyperlink ref="BD512" r:id="rId511" display="https://www.fotmob.com/players/1348321/nico-campuzano"/>
    <hyperlink ref="BD513" r:id="rId512" display="https://www.fotmob.com/players/1780451/mike-sheridan"/>
    <hyperlink ref="BD514" r:id="rId513" display="https://www.fotmob.com/players/1171004/mitchell-budler"/>
    <hyperlink ref="BD515" r:id="rId514" display="https://www.fotmob.com/players/1500406/victor-souza"/>
    <hyperlink ref="BD516" r:id="rId515" display="https://www.fotmob.com/players/1919812/owen-mikoy"/>
    <hyperlink ref="BD517" r:id="rId516" display="https://www.fotmob.com/players/1724749/perrin-barnes"/>
    <hyperlink ref="BD518" r:id="rId517" display="https://www.fotmob.com/players/1919811/lasse-kelp"/>
    <hyperlink ref="BD519" r:id="rId518" display="https://www.fotmob.com/players/1649306/beto-ydrach"/>
    <hyperlink ref="BD520" r:id="rId519" display="https://www.fotmob.com/players/1460328/illal-osumanu"/>
    <hyperlink ref="BD521" r:id="rId520" display="https://www.fotmob.com/players/1751990/guillaume-vacter"/>
    <hyperlink ref="BD522" r:id="rId521" display="https://www.fotmob.com/players/1169433/danny-griffin"/>
    <hyperlink ref="BD523" r:id="rId522" display="https://www.fotmob.com/players/1060363/robbie-mertz"/>
    <hyperlink ref="BD524" r:id="rId523" display="https://www.fotmob.com/players/1724751/charles-ahl"/>
    <hyperlink ref="BD525" r:id="rId524" display="https://www.fotmob.com/players/1710552/sam-bassett"/>
    <hyperlink ref="BD526" r:id="rId525" display="https://www.fotmob.com/players/1502991/jackson-walti"/>
    <hyperlink ref="BD527" r:id="rId526" display="https://www.fotmob.com/players/962320/eliot-goldthorp"/>
    <hyperlink ref="BD528" r:id="rId527" display="https://www.fotmob.com/players/1919814/max-viera"/>
    <hyperlink ref="BD529" r:id="rId528" display="https://www.fotmob.com/players/820312/junior-etou"/>
    <hyperlink ref="BD530" r:id="rId529" display="https://www.fotmob.com/players/1615769/bradley-sample"/>
    <hyperlink ref="BD531" r:id="rId530" display="https://www.fotmob.com/players/1626995/yu-tsukanome"/>
    <hyperlink ref="BD532" r:id="rId531" display="https://www.fotmob.com/players/1724750/jorge-garcia"/>
    <hyperlink ref="BD533" r:id="rId532" display="https://www.fotmob.com/players/839198/albert-dikwa"/>
    <hyperlink ref="BD534" r:id="rId533" display="https://www.fotmob.com/players/1367350/trevor-amann"/>
    <hyperlink ref="BD535" r:id="rId534" display="https://www.fotmob.com/players/1919816/aldair-flowers"/>
    <hyperlink ref="BD536" r:id="rId535" display="https://www.fotmob.com/players/785824/koke-vegas"/>
    <hyperlink ref="BD537" r:id="rId536" display="https://www.fotmob.com/players/1083221/jacob-castro"/>
    <hyperlink ref="BD538" r:id="rId537" display="https://www.fotmob.com/players/1366199/will-meyer"/>
    <hyperlink ref="BD539" r:id="rId538" display="https://www.fotmob.com/players/1287564/frank-nodarse"/>
    <hyperlink ref="BD540" r:id="rId539" display="https://www.fotmob.com/players/1042584/grant-stoneman"/>
    <hyperlink ref="BD541" r:id="rId540" display="https://www.fotmob.com/players/1082990/nick-scardina"/>
    <hyperlink ref="BD542" r:id="rId541" display="https://www.fotmob.com/players/1058360/karifa-yao"/>
    <hyperlink ref="BD543" r:id="rId542" display="https://www.fotmob.com/players/1448501/aldair-sanchez"/>
    <hyperlink ref="BD544" r:id="rId543" display="https://www.fotmob.com/players/1082967/dani-rovira"/>
    <hyperlink ref="BD545" r:id="rId544" display="https://www.fotmob.com/players/1928321/calvin-williams"/>
    <hyperlink ref="BD546" r:id="rId545" display="https://www.fotmob.com/players/1516692/hugo-bacharach"/>
    <hyperlink ref="BD547" r:id="rId546" display="https://www.fotmob.com/players/1479926/amos-shapiro-thompson"/>
    <hyperlink ref="BD548" r:id="rId547" display="https://www.fotmob.com/players/1257379/agustin-rodriguez"/>
    <hyperlink ref="BD549" r:id="rId548" display="https://www.fotmob.com/players/1199737/noah-fuson"/>
    <hyperlink ref="BD550" r:id="rId549" display="https://www.fotmob.com/players/1348492/dwayne-atkinson"/>
    <hyperlink ref="BD551" r:id="rId550" display="https://www.fotmob.com/players/729986/zach-herivaux"/>
    <hyperlink ref="BD552" r:id="rId551" display="https://www.fotmob.com/players/1647608/eric-klein"/>
    <hyperlink ref="BD553" r:id="rId552" display="https://www.fotmob.com/players/1615759/kevin-vang"/>
    <hyperlink ref="BD554" r:id="rId553" display="https://www.fotmob.com/players/2263374/kevin-medina"/>
    <hyperlink ref="BD555" r:id="rId554" display="https://www.fotmob.com/players/1357481/jojea-kwizera"/>
    <hyperlink ref="BD556" r:id="rId555" display="https://www.fotmob.com/players/1600846/leo-afonso"/>
    <hyperlink ref="BD557" r:id="rId556" display="https://www.fotmob.com/players/1624044/yutaro-tsukada"/>
    <hyperlink ref="BD558" r:id="rId557" display="https://www.fotmob.com/players/1515624/stas-korzeniowski"/>
    <hyperlink ref="BD559" r:id="rId558" display="https://www.fotmob.com/players/1292844/osman-foyo"/>
    <hyperlink ref="BD560" r:id="rId559" display="https://www.fotmob.com/players/1355804/jamin-gogo-peters"/>
    <hyperlink ref="BD561" r:id="rId560" display="https://www.fotmob.com/players/1843221/nikolai-pierre"/>
    <hyperlink ref="BD562" r:id="rId561" display="https://www.fotmob.com/players/1923039/cai-anthony-mclean"/>
    <hyperlink ref="BD563" r:id="rId562" display="https://www.fotmob.com/players/1079451/danny-vitiello"/>
    <hyperlink ref="BD564" r:id="rId563" display="https://www.fotmob.com/players/1615772/jacob-randolph"/>
    <hyperlink ref="BD565" r:id="rId564" display="https://www.fotmob.com/players/1997450/brooks-doolittle"/>
    <hyperlink ref="BD566" r:id="rId565" display="https://www.fotmob.com/players/556023/lee-desmond"/>
    <hyperlink ref="BD567" r:id="rId566" display="https://www.fotmob.com/players/1170733/jack-gurr"/>
    <hyperlink ref="BD568" r:id="rId567" display="https://www.fotmob.com/players/1172907/jared-timmer"/>
    <hyperlink ref="BD569" r:id="rId568" display="https://www.fotmob.com/players/772825/michelle-benitez"/>
    <hyperlink ref="BD570" r:id="rId569" display="https://www.fotmob.com/players/1195444/ryan-spaulding"/>
    <hyperlink ref="BD571" r:id="rId570" display="https://www.fotmob.com/players/1246735/freddy-kleemann"/>
    <hyperlink ref="BD572" r:id="rId571" display="https://www.fotmob.com/players/1320050/aaron-essel"/>
    <hyperlink ref="BD573" r:id="rId572" display="https://www.fotmob.com/players/458997/tim-leibold"/>
    <hyperlink ref="BD574" r:id="rId573" display="https://www.fotmob.com/players/1921663/rohan-chivukula"/>
    <hyperlink ref="BD575" r:id="rId574" display="https://www.fotmob.com/players/1938739/reid-paskey"/>
    <hyperlink ref="BD576" r:id="rId575" display="https://www.fotmob.com/players/1073942/danny-crisostomo"/>
    <hyperlink ref="BD577" r:id="rId576" display="https://www.fotmob.com/players/621886/memo-rodriguez"/>
    <hyperlink ref="BD578" r:id="rId577" display="https://www.fotmob.com/players/1520638/blake-willey"/>
    <hyperlink ref="BD579" r:id="rId578" display="https://www.fotmob.com/players/632748/mark-anthony-kaye"/>
    <hyperlink ref="BD580" r:id="rId579" display="https://www.fotmob.com/players/1644458/alfredo-midence"/>
    <hyperlink ref="BD581" r:id="rId580" display="https://www.fotmob.com/players/1626273/pep-casas"/>
    <hyperlink ref="BD582" r:id="rId581" display="https://www.fotmob.com/players/1178821/mayele-malango"/>
    <hyperlink ref="BD583" r:id="rId582" display="https://www.fotmob.com/players/1600917/forster-ajago"/>
    <hyperlink ref="BD584" r:id="rId583" display="https://www.fotmob.com/players/1056536/arturo-rodriguez"/>
    <hyperlink ref="BD585" r:id="rId584" display="https://www.fotmob.com/players/1166552/tyler-wolff"/>
    <hyperlink ref="BD586" r:id="rId585" display="https://www.fotmob.com/players/647068/kyle-edwards"/>
    <hyperlink ref="BD587" r:id="rId586" display="https://www.fotmob.com/players/1169331/cal-jennings"/>
    <hyperlink ref="BD588" r:id="rId587" display="https://www.fotmob.com/players/1724710/joseph-batrouni"/>
    <hyperlink ref="BD589" r:id="rId588" display="https://www.fotmob.com/players/254962/richard-sanchez"/>
    <hyperlink ref="BD590" r:id="rId589" display="https://www.fotmob.com/players/1727117/daniel-namani"/>
    <hyperlink ref="BD591" r:id="rId590" display="https://www.fotmob.com/players/1828190/victor-velazquez"/>
    <hyperlink ref="BD592" r:id="rId591" display="https://www.fotmob.com/players/1025952/akeem-ward"/>
    <hyperlink ref="BD593" r:id="rId592" display="https://www.fotmob.com/players/776966/mitchell-taintor"/>
    <hyperlink ref="BD594" r:id="rId593" display="https://www.fotmob.com/players/825695/alex-crognale"/>
    <hyperlink ref="BD595" r:id="rId594" display="https://www.fotmob.com/players/1026067/emil-cuello"/>
    <hyperlink ref="BD596" r:id="rId595" display="https://www.fotmob.com/players/1344756/santiago-suarez"/>
    <hyperlink ref="BD597" r:id="rId596" display="https://www.fotmob.com/players/760331/daniel-barbir"/>
    <hyperlink ref="BD598" r:id="rId597" display="https://www.fotmob.com/players/1175223/nelson-flores"/>
    <hyperlink ref="BD599" r:id="rId598" display="https://www.fotmob.com/players/952169/alexis-souahy"/>
    <hyperlink ref="BD600" r:id="rId599" display="https://www.fotmob.com/players/1026110/rece-buckmaster"/>
    <hyperlink ref="BD601" r:id="rId600" display="https://www.fotmob.com/players/1921659/angel-mercado"/>
    <hyperlink ref="BD602" r:id="rId601" display="https://www.fotmob.com/players/1376134/mikey-maldonado"/>
    <hyperlink ref="BD603" r:id="rId602" display="https://www.fotmob.com/players/971585/jorge-hernandez"/>
    <hyperlink ref="BD604" r:id="rId603" display="https://www.fotmob.com/players/934891/cristian-parano"/>
    <hyperlink ref="BD605" r:id="rId604" display="https://www.fotmob.com/players/1727112/lucio-berron"/>
    <hyperlink ref="BD606" r:id="rId605" display="https://www.fotmob.com/players/1760419/curt-calov"/>
    <hyperlink ref="BD607" r:id="rId606" display="https://www.fotmob.com/players/1197526/nicky-hernandez"/>
    <hyperlink ref="BD608" r:id="rId607" display="https://www.fotmob.com/players/1064711/christian-sorto"/>
    <hyperlink ref="BD609" r:id="rId608" display="https://www.fotmob.com/players/1026107/santiago-patino"/>
    <hyperlink ref="BD610" r:id="rId609" display="https://www.fotmob.com/players/1355567/diogo-pacheco"/>
    <hyperlink ref="BD611" r:id="rId610" display="https://www.fotmob.com/players/1166264/luke-haakenson"/>
    <hyperlink ref="BD612" r:id="rId611" display="https://www.fotmob.com/players/1601768/lilian-ricol"/>
    <hyperlink ref="BD613" r:id="rId612" display="https://www.fotmob.com/players/1435963/luis-paredes"/>
    <hyperlink ref="BD614" r:id="rId613" display="https://www.fotmob.com/players/1330000/alex-greive"/>
    <hyperlink ref="BD615" r:id="rId614" display="https://www.fotmob.com/players/1800681/leonides-urrutia"/>
    <hyperlink ref="BD616" r:id="rId615" display="https://www.fotmob.com/players/825635/jake-mcguire"/>
    <hyperlink ref="BD617" r:id="rId616" display="https://www.fotmob.com/players/1919892/juan-casas"/>
    <hyperlink ref="BD618" r:id="rId617" display="https://www.fotmob.com/players/1187155/harvey-neville"/>
    <hyperlink ref="BD619" r:id="rId618" display="https://www.fotmob.com/players/330468/ryan-edwards"/>
    <hyperlink ref="BD620" r:id="rId619" display="https://www.fotmob.com/players/1470132/tyshawn-rose"/>
    <hyperlink ref="BD621" r:id="rId620" display="https://www.fotmob.com/players/1617267/antonio-gomez"/>
    <hyperlink ref="BD622" r:id="rId621" display="https://www.fotmob.com/players/1059395/wahab-ackwei"/>
    <hyperlink ref="BD623" r:id="rId622" display="https://www.fotmob.com/players/168308/danny-wilson"/>
    <hyperlink ref="BD624" r:id="rId623" display="https://www.fotmob.com/players/1346880/dida-armstrong"/>
    <hyperlink ref="BD625" r:id="rId624" display="https://www.fotmob.com/players/1177861/mohamed-traore"/>
    <hyperlink ref="BD626" r:id="rId625" display="https://www.fotmob.com/players/658133/marcus-godinho"/>
    <hyperlink ref="BD627" r:id="rId626" display="https://www.fotmob.com/players/415706/ventura-alvarado"/>
    <hyperlink ref="BD628" r:id="rId627" display="https://www.fotmob.com/players/1676058/ethan-dudley"/>
    <hyperlink ref="BD629" r:id="rId628" display="https://www.fotmob.com/players/516002/jordan-rossiter"/>
    <hyperlink ref="BD630" r:id="rId629" display="https://www.fotmob.com/players/495686/edgardo-rito"/>
    <hyperlink ref="BD631" r:id="rId630" display="https://www.fotmob.com/players/941737/wan-kuzain"/>
    <hyperlink ref="BD632" r:id="rId631" display="https://www.fotmob.com/players/1562361/rafferty-pedder"/>
    <hyperlink ref="BD633" r:id="rId632" display="https://www.fotmob.com/players/855399/raheem-somersall"/>
    <hyperlink ref="BD634" r:id="rId633" display="https://www.fotmob.com/players/1026054/thomas-roberts"/>
    <hyperlink ref="BD635" r:id="rId634" display="https://www.fotmob.com/players/305454/jean-mota"/>
    <hyperlink ref="BD636" r:id="rId635" display="https://www.fotmob.com/players/562876/brem-soumaoro"/>
    <hyperlink ref="BD637" r:id="rId636" display="https://www.fotmob.com/players/1658520/ezekiel-soto"/>
    <hyperlink ref="BD638" r:id="rId637" display="https://www.fotmob.com/players/1348312/jacob-evans"/>
    <hyperlink ref="BD639" r:id="rId638" display="https://www.fotmob.com/players/1530723/jack-proctor"/>
    <hyperlink ref="BD640" r:id="rId639" display="https://www.fotmob.com/players/1975687/ethan-underwood"/>
    <hyperlink ref="BD641" r:id="rId640" display="https://www.fotmob.com/players/1075184/emil-jaaskelainen"/>
    <hyperlink ref="BD642" r:id="rId641" display="https://www.fotmob.com/players/614458/kieran-sadlier"/>
    <hyperlink ref="BD643" r:id="rId642" display="https://www.fotmob.com/players/1727104/ahmad-al-qaq"/>
    <hyperlink ref="BD644" r:id="rId643" display="https://www.fotmob.com/players/1082254/luc-granitur"/>
    <hyperlink ref="BD645" r:id="rId644" display="https://www.fotmob.com/players/1727106/adam-luckhurst"/>
    <hyperlink ref="BD646" r:id="rId645" display="https://www.fotmob.com/players/1352794/jahmali-waite"/>
    <hyperlink ref="BD647" r:id="rId646" display="https://www.fotmob.com/players/1082962/austin-pack"/>
    <hyperlink ref="BD648" r:id="rId647" display="https://www.fotmob.com/players/1338695/nathan-dossantos"/>
    <hyperlink ref="BD649" r:id="rId648" display="https://www.fotmob.com/players/1338618/charlie-ostrem"/>
    <hyperlink ref="BD650" r:id="rId649" display="https://www.fotmob.com/players/650320/dion-acoff"/>
    <hyperlink ref="BD651" r:id="rId650" display="https://www.fotmob.com/players/1652661/brian-schaefer"/>
    <hyperlink ref="BD652" r:id="rId651" display="https://www.fotmob.com/players/1056524/laurence-wyke"/>
    <hyperlink ref="BD653" r:id="rId652" display="https://www.fotmob.com/players/1246605/ethan-bartlow"/>
    <hyperlink ref="BD654" r:id="rId653" display="https://www.fotmob.com/players/1338617/yanis-leerman"/>
    <hyperlink ref="BD655" r:id="rId654" display="https://www.fotmob.com/players/1057835/leland-archer"/>
    <hyperlink ref="BD656" r:id="rId655" display="https://www.fotmob.com/players/960597/gennaro-nigro"/>
    <hyperlink ref="BD657" r:id="rId656" display="https://www.fotmob.com/players/1744398/alexander-rodriguez"/>
    <hyperlink ref="BD658" r:id="rId657" display="https://www.fotmob.com/players/1921658/jesse-tita"/>
    <hyperlink ref="BD659" r:id="rId658" display="https://www.fotmob.com/players/1346878/max-schneider"/>
    <hyperlink ref="BD660" r:id="rId659" display="https://www.fotmob.com/players/1463253/sebastian-cruz"/>
    <hyperlink ref="BD661" r:id="rId660" display="https://www.fotmob.com/players/1348303/pedro-dolabella"/>
    <hyperlink ref="BD662" r:id="rId661" display="https://www.fotmob.com/players/1253521/louis-perez"/>
    <hyperlink ref="BD663" r:id="rId662" display="https://www.fotmob.com/players/762335/lewis-hilton"/>
    <hyperlink ref="BD664" r:id="rId663" display="https://www.fotmob.com/players/847568/marco-micaletto"/>
    <hyperlink ref="BD665" r:id="rId664" display="https://www.fotmob.com/players/1463307/md-myers"/>
    <hyperlink ref="BD666" r:id="rId665" display="https://www.fotmob.com/players/858760/russell-cicerone"/>
    <hyperlink ref="BD667" r:id="rId666" display="https://www.fotmob.com/players/289441/jurgen-locadia"/>
    <hyperlink ref="BD668" r:id="rId667" display="https://www.fotmob.com/players/1173020/evan-conway"/>
    <hyperlink ref="BD669" r:id="rId668" display="https://www.fotmob.com/players/1615778/karsen-henderlong"/>
    <hyperlink ref="BD670" r:id="rId669" display="https://www.fotmob.com/players/1440020/gino-vivi"/>
    <hyperlink ref="BD671" r:id="rId670" display="https://www.fotmob.com/players/1626272/ramiz-hamouda"/>
    <hyperlink ref="BD672" r:id="rId671" display="https://www.fotmob.com/players/1440017/keegan-hughes"/>
    <hyperlink ref="BD673" r:id="rId672" display="https://www.fotmob.com/players/1360350/leo-duru"/>
    <hyperlink ref="BD674" r:id="rId673" display="https://www.fotmob.com/players/1732519/kayne-rizvanovich"/>
    <hyperlink ref="BD675" r:id="rId674" display="https://www.fotmob.com/players/1537807/markus-anderson"/>
    <hyperlink ref="BD676" r:id="rId675" display="https://www.fotmob.com/players/754585/shaan-hundal"/>
    <hyperlink ref="BD677" r:id="rId676" display="https://www.fotmob.com/players/1637900/medgy-alexandre"/>
    <hyperlink ref="BD678" r:id="rId677" display="https://www.fotmob.com/players/1780441/mukisa-kiingi"/>
    <hyperlink ref="BD679" r:id="rId678" display="https://www.fotmob.com/players/1439929/levonte-johnson"/>
    <hyperlink ref="BD680" r:id="rId679" display="https://www.fotmob.com/players/1346905/nelson-pierre"/>
    <hyperlink ref="BD681" r:id="rId680" display="https://www.fotmob.com/players/1413144/andres-hernandez"/>
    <hyperlink ref="BD682" r:id="rId681" display="https://www.fotmob.com/players/1615795/logan-neidlinger"/>
    <hyperlink ref="BD683" r:id="rId682" display="https://www.fotmob.com/players/1455815/mikah-thomas"/>
    <hyperlink ref="BD684" r:id="rId683" display="https://www.fotmob.com/players/1615718/jared-mazzola"/>
    <hyperlink ref="BD685" r:id="rId684" display="https://www.fotmob.com/players/729507/mason-stajduhar"/>
    <hyperlink ref="BD686" r:id="rId685" display="https://www.fotmob.com/players/1234692/elias-gartig"/>
    <hyperlink ref="BD687" r:id="rId686" display="https://www.fotmob.com/players/924442/handwalla-bwana"/>
    <hyperlink ref="BD688" r:id="rId687" display="https://www.fotmob.com/players/1082236/jahlane-forbes"/>
    <hyperlink ref="BD689" r:id="rId688" display="https://www.fotmob.com/players/1393570/nighte-pickering"/>
    <hyperlink ref="BD690" r:id="rId689" display="https://www.fotmob.com/players/825584/latif-blessing"/>
    <hyperlink ref="BD691" r:id="rId690" display="https://www.fotmob.com/players/1610216/adam-beaudry"/>
    <hyperlink ref="BD692" r:id="rId691" display="https://www.fotmob.com/players/907869/andres-souper"/>
    <hyperlink ref="BD693" r:id="rId692" display="https://www.fotmob.com/players/1195273/thorleifur-ulfarsson"/>
    <hyperlink ref="BD694" r:id="rId693" display="https://www.fotmob.com/players/1727114/brandon-bent"/>
    <hyperlink ref="BD695" r:id="rId694" display="https://www.fotmob.com/players/1082123/preston-kilwien"/>
    <hyperlink ref="BD696" r:id="rId695" display="https://www.fotmob.com/players/1791432/alexander-naranjo"/>
    <hyperlink ref="BD697" r:id="rId696" display="https://www.fotmob.com/players/1810538/mathieu-ndongo"/>
    <hyperlink ref="BD698" r:id="rId697" display="https://www.fotmob.com/players/1520422/chris-kevin-nadje"/>
    <hyperlink ref="BD699" r:id="rId698" display="https://www.fotmob.com/players/1353588/riley-bidois"/>
    <hyperlink ref="BD700" r:id="rId699" display="https://www.fotmob.com/players/1732772/anisse-saidi"/>
    <hyperlink ref="BD701" r:id="rId700" display="https://www.fotmob.com/players/1083230/will-seymore"/>
    <hyperlink ref="BD702" r:id="rId701" display="https://www.fotmob.com/players/1555153/arturo-astorga"/>
    <hyperlink ref="BD703" r:id="rId702" display="https://www.fotmob.com/players/1919758/joseph-melto-quiah"/>
    <hyperlink ref="BD704" r:id="rId703" display="https://www.fotmob.com/players/1638338/ali-elmasnaouy"/>
    <hyperlink ref="BD705" r:id="rId704" display="https://www.fotmob.com/players/1921668/bradley-roberson"/>
    <hyperlink ref="BD706" r:id="rId705" display="https://www.fotmob.com/players/1341114/jesse-maldonado"/>
    <hyperlink ref="BD707" r:id="rId706" display="https://www.fotmob.com/players/1667774/pedro-guimaraes"/>
    <hyperlink ref="BD708" r:id="rId707" display="https://www.fotmob.com/players/1368923/josh-martinez"/>
    <hyperlink ref="BD709" r:id="rId708" display="https://www.fotmob.com/players/1919791/aleksandar-vukovic"/>
    <hyperlink ref="BD710" r:id="rId709" display="https://www.fotmob.com/players/1910885/gilberto-rivera"/>
    <hyperlink ref="BD711" r:id="rId710" display="https://www.fotmob.com/players/1662133/jamison-ping"/>
    <hyperlink ref="BD712" r:id="rId711" display="https://www.fotmob.com/players/1075251/darius-johnson"/>
    <hyperlink ref="BD713" r:id="rId712" display="https://www.fotmob.com/players/1520631/juan-carvajal"/>
    <hyperlink ref="BD714" r:id="rId713" display="https://www.fotmob.com/players/1724752/brigham-larsen"/>
    <hyperlink ref="BD715" r:id="rId714" display="https://www.fotmob.com/players/1478367/clay-holstad"/>
    <hyperlink ref="BD716" r:id="rId715" display="https://www.fotmob.com/players/1025934/jj-williams"/>
    <hyperlink ref="BD717" r:id="rId716" display="https://www.fotmob.com/players/1615719/chibuike-ukaegbu"/>
    <hyperlink ref="BD718" r:id="rId717" display="https://www.fotmob.com/players/1708523/pep-casas"/>
    <hyperlink ref="BD719" r:id="rId718" display="https://www.fotmob.com/players/860585/dominik-wanner"/>
    <hyperlink ref="BD720" r:id="rId719" display="https://www.fotmob.com/players/1649152/dmitriy-erofeev"/>
    <hyperlink ref="BD721" r:id="rId720" display="https://www.fotmob.com/players/1252616/emmanuel-johnson"/>
    <hyperlink ref="BD722" r:id="rId721" display="https://www.fotmob.com/players/1610324/christian-olivares"/>
    <hyperlink ref="BD723" r:id="rId722" display="https://www.fotmob.com/players/825605/adonijah-reid"/>
    <hyperlink ref="BD724" r:id="rId723" display="https://www.fotmob.com/players/1045118/conner-antley"/>
    <hyperlink ref="BD725" r:id="rId724" display="https://www.fotmob.com/players/1190717/isaiah-leflore"/>
    <hyperlink ref="BD726" r:id="rId725" display="https://www.fotmob.com/players/323380/mattheu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726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3"/>
    <col collapsed="false" customWidth="true" hidden="false" outlineLevel="0" max="5" min="4" style="0" width="10"/>
    <col collapsed="false" customWidth="true" hidden="false" outlineLevel="0" max="6" min="6" style="0" width="14"/>
    <col collapsed="false" customWidth="true" hidden="false" outlineLevel="0" max="8" min="7" style="0" width="11"/>
    <col collapsed="false" customWidth="true" hidden="false" outlineLevel="0" max="9" min="9" style="0" width="22"/>
  </cols>
  <sheetData>
    <row r="1" customFormat="false" ht="39.55" hidden="false" customHeight="false" outlineLevel="0" collapsed="false">
      <c r="A1" s="5" t="s">
        <v>2</v>
      </c>
      <c r="B1" s="5" t="s">
        <v>3</v>
      </c>
      <c r="C1" s="5" t="s">
        <v>2474</v>
      </c>
      <c r="D1" s="5" t="s">
        <v>2475</v>
      </c>
      <c r="E1" s="5" t="s">
        <v>2476</v>
      </c>
      <c r="F1" s="5" t="s">
        <v>2477</v>
      </c>
      <c r="G1" s="5" t="s">
        <v>2478</v>
      </c>
      <c r="H1" s="5" t="s">
        <v>2479</v>
      </c>
      <c r="I1" s="5" t="s">
        <v>2480</v>
      </c>
    </row>
    <row r="2" customFormat="false" ht="15" hidden="false" customHeight="false" outlineLevel="0" collapsed="false">
      <c r="A2" s="2" t="s">
        <v>57</v>
      </c>
      <c r="B2" s="2" t="s">
        <v>58</v>
      </c>
      <c r="C2" s="2" t="n">
        <f aca="false">COUNTIFS(Jugadores!$C:$C,A2,Jugadores!$E:$E,"En plantilla")</f>
        <v>23</v>
      </c>
      <c r="D2" s="2" t="n">
        <f aca="false">COUNTIFS(Jugadores!$C:$C,A2,Jugadores!$F:$F,"Portero")</f>
        <v>2</v>
      </c>
      <c r="E2" s="2" t="n">
        <f aca="false">COUNTIFS(Jugadores!$C:$C,A2,Jugadores!$F:$F,"Defensa")</f>
        <v>10</v>
      </c>
      <c r="F2" s="2" t="n">
        <f aca="false">COUNTIFS(Jugadores!$C:$C,A2,Jugadores!$F:$F,"Mediocampista")</f>
        <v>7</v>
      </c>
      <c r="G2" s="2" t="n">
        <f aca="false">COUNTIFS(Jugadores!$C:$C,A2,Jugadores!$F:$F,"Delantero")</f>
        <v>7</v>
      </c>
      <c r="H2" s="6" t="n">
        <f aca="false">AVERAGEIFS(Jugadores!$J:$J,Jugadores!$C:$C,A2,Jugadores!$E:$E,"En plantilla")</f>
        <v>26.4347826086957</v>
      </c>
      <c r="I2" s="2" t="n">
        <f aca="false">COUNTIFS(Jugadores!$C:$C,A2,Jugadores!$E:$E,"Fuera de plantilla actual")</f>
        <v>3</v>
      </c>
    </row>
    <row r="3" customFormat="false" ht="15" hidden="false" customHeight="false" outlineLevel="0" collapsed="false">
      <c r="A3" s="2" t="s">
        <v>164</v>
      </c>
      <c r="B3" s="2" t="s">
        <v>58</v>
      </c>
      <c r="C3" s="2" t="n">
        <f aca="false">COUNTIFS(Jugadores!$C:$C,A3,Jugadores!$E:$E,"En plantilla")</f>
        <v>21</v>
      </c>
      <c r="D3" s="2" t="n">
        <f aca="false">COUNTIFS(Jugadores!$C:$C,A3,Jugadores!$F:$F,"Portero")</f>
        <v>3</v>
      </c>
      <c r="E3" s="2" t="n">
        <f aca="false">COUNTIFS(Jugadores!$C:$C,A3,Jugadores!$F:$F,"Defensa")</f>
        <v>7</v>
      </c>
      <c r="F3" s="2" t="n">
        <f aca="false">COUNTIFS(Jugadores!$C:$C,A3,Jugadores!$F:$F,"Mediocampista")</f>
        <v>7</v>
      </c>
      <c r="G3" s="2" t="n">
        <f aca="false">COUNTIFS(Jugadores!$C:$C,A3,Jugadores!$F:$F,"Delantero")</f>
        <v>7</v>
      </c>
      <c r="H3" s="6" t="n">
        <f aca="false">AVERAGEIFS(Jugadores!$J:$J,Jugadores!$C:$C,A3,Jugadores!$E:$E,"En plantilla")</f>
        <v>26.3809523809524</v>
      </c>
      <c r="I3" s="2" t="n">
        <f aca="false">COUNTIFS(Jugadores!$C:$C,A3,Jugadores!$E:$E,"Fuera de plantilla actual")</f>
        <v>3</v>
      </c>
    </row>
    <row r="4" customFormat="false" ht="15" hidden="false" customHeight="false" outlineLevel="0" collapsed="false">
      <c r="A4" s="2" t="s">
        <v>249</v>
      </c>
      <c r="B4" s="2" t="s">
        <v>58</v>
      </c>
      <c r="C4" s="2" t="n">
        <f aca="false">COUNTIFS(Jugadores!$C:$C,A4,Jugadores!$E:$E,"En plantilla")</f>
        <v>25</v>
      </c>
      <c r="D4" s="2" t="n">
        <f aca="false">COUNTIFS(Jugadores!$C:$C,A4,Jugadores!$F:$F,"Portero")</f>
        <v>4</v>
      </c>
      <c r="E4" s="2" t="n">
        <f aca="false">COUNTIFS(Jugadores!$C:$C,A4,Jugadores!$F:$F,"Defensa")</f>
        <v>7</v>
      </c>
      <c r="F4" s="2" t="n">
        <f aca="false">COUNTIFS(Jugadores!$C:$C,A4,Jugadores!$F:$F,"Mediocampista")</f>
        <v>8</v>
      </c>
      <c r="G4" s="2" t="n">
        <f aca="false">COUNTIFS(Jugadores!$C:$C,A4,Jugadores!$F:$F,"Delantero")</f>
        <v>7</v>
      </c>
      <c r="H4" s="6" t="n">
        <f aca="false">AVERAGEIFS(Jugadores!$J:$J,Jugadores!$C:$C,A4,Jugadores!$E:$E,"En plantilla")</f>
        <v>25.52</v>
      </c>
      <c r="I4" s="2" t="n">
        <f aca="false">COUNTIFS(Jugadores!$C:$C,A4,Jugadores!$E:$E,"Fuera de plantilla actual")</f>
        <v>1</v>
      </c>
    </row>
    <row r="5" customFormat="false" ht="15" hidden="false" customHeight="false" outlineLevel="0" collapsed="false">
      <c r="A5" s="2" t="s">
        <v>445</v>
      </c>
      <c r="B5" s="2" t="s">
        <v>58</v>
      </c>
      <c r="C5" s="2" t="n">
        <f aca="false">COUNTIFS(Jugadores!$C:$C,A5,Jugadores!$E:$E,"En plantilla")</f>
        <v>27</v>
      </c>
      <c r="D5" s="2" t="n">
        <f aca="false">COUNTIFS(Jugadores!$C:$C,A5,Jugadores!$F:$F,"Portero")</f>
        <v>3</v>
      </c>
      <c r="E5" s="2" t="n">
        <f aca="false">COUNTIFS(Jugadores!$C:$C,A5,Jugadores!$F:$F,"Defensa")</f>
        <v>8</v>
      </c>
      <c r="F5" s="2" t="n">
        <f aca="false">COUNTIFS(Jugadores!$C:$C,A5,Jugadores!$F:$F,"Mediocampista")</f>
        <v>6</v>
      </c>
      <c r="G5" s="2" t="n">
        <f aca="false">COUNTIFS(Jugadores!$C:$C,A5,Jugadores!$F:$F,"Delantero")</f>
        <v>10</v>
      </c>
      <c r="H5" s="6" t="n">
        <f aca="false">AVERAGEIFS(Jugadores!$J:$J,Jugadores!$C:$C,A5,Jugadores!$E:$E,"En plantilla")</f>
        <v>27.6666666666667</v>
      </c>
      <c r="I5" s="2" t="n">
        <f aca="false">COUNTIFS(Jugadores!$C:$C,A5,Jugadores!$E:$E,"Fuera de plantilla actual")</f>
        <v>0</v>
      </c>
    </row>
    <row r="6" customFormat="false" ht="15" hidden="false" customHeight="false" outlineLevel="0" collapsed="false">
      <c r="A6" s="2" t="s">
        <v>746</v>
      </c>
      <c r="B6" s="2" t="s">
        <v>58</v>
      </c>
      <c r="C6" s="2" t="n">
        <f aca="false">COUNTIFS(Jugadores!$C:$C,A6,Jugadores!$E:$E,"En plantilla")</f>
        <v>27</v>
      </c>
      <c r="D6" s="2" t="n">
        <f aca="false">COUNTIFS(Jugadores!$C:$C,A6,Jugadores!$F:$F,"Portero")</f>
        <v>2</v>
      </c>
      <c r="E6" s="2" t="n">
        <f aca="false">COUNTIFS(Jugadores!$C:$C,A6,Jugadores!$F:$F,"Defensa")</f>
        <v>6</v>
      </c>
      <c r="F6" s="2" t="n">
        <f aca="false">COUNTIFS(Jugadores!$C:$C,A6,Jugadores!$F:$F,"Mediocampista")</f>
        <v>12</v>
      </c>
      <c r="G6" s="2" t="n">
        <f aca="false">COUNTIFS(Jugadores!$C:$C,A6,Jugadores!$F:$F,"Delantero")</f>
        <v>8</v>
      </c>
      <c r="H6" s="6" t="n">
        <f aca="false">AVERAGEIFS(Jugadores!$J:$J,Jugadores!$C:$C,A6,Jugadores!$E:$E,"En plantilla")</f>
        <v>24.8888888888889</v>
      </c>
      <c r="I6" s="2" t="n">
        <f aca="false">COUNTIFS(Jugadores!$C:$C,A6,Jugadores!$E:$E,"Fuera de plantilla actual")</f>
        <v>1</v>
      </c>
    </row>
    <row r="7" customFormat="false" ht="15" hidden="false" customHeight="false" outlineLevel="0" collapsed="false">
      <c r="A7" s="2" t="s">
        <v>843</v>
      </c>
      <c r="B7" s="2" t="s">
        <v>58</v>
      </c>
      <c r="C7" s="2" t="n">
        <f aca="false">COUNTIFS(Jugadores!$C:$C,A7,Jugadores!$E:$E,"En plantilla")</f>
        <v>24</v>
      </c>
      <c r="D7" s="2" t="n">
        <f aca="false">COUNTIFS(Jugadores!$C:$C,A7,Jugadores!$F:$F,"Portero")</f>
        <v>3</v>
      </c>
      <c r="E7" s="2" t="n">
        <f aca="false">COUNTIFS(Jugadores!$C:$C,A7,Jugadores!$F:$F,"Defensa")</f>
        <v>12</v>
      </c>
      <c r="F7" s="2" t="n">
        <f aca="false">COUNTIFS(Jugadores!$C:$C,A7,Jugadores!$F:$F,"Mediocampista")</f>
        <v>4</v>
      </c>
      <c r="G7" s="2" t="n">
        <f aca="false">COUNTIFS(Jugadores!$C:$C,A7,Jugadores!$F:$F,"Delantero")</f>
        <v>7</v>
      </c>
      <c r="H7" s="6" t="n">
        <f aca="false">AVERAGEIFS(Jugadores!$J:$J,Jugadores!$C:$C,A7,Jugadores!$E:$E,"En plantilla")</f>
        <v>26.9583333333333</v>
      </c>
      <c r="I7" s="2" t="n">
        <f aca="false">COUNTIFS(Jugadores!$C:$C,A7,Jugadores!$E:$E,"Fuera de plantilla actual")</f>
        <v>2</v>
      </c>
    </row>
    <row r="8" customFormat="false" ht="15" hidden="false" customHeight="false" outlineLevel="0" collapsed="false">
      <c r="A8" s="2" t="s">
        <v>1087</v>
      </c>
      <c r="B8" s="2" t="s">
        <v>58</v>
      </c>
      <c r="C8" s="2" t="n">
        <f aca="false">COUNTIFS(Jugadores!$C:$C,A8,Jugadores!$E:$E,"En plantilla")</f>
        <v>25</v>
      </c>
      <c r="D8" s="2" t="n">
        <f aca="false">COUNTIFS(Jugadores!$C:$C,A8,Jugadores!$F:$F,"Portero")</f>
        <v>3</v>
      </c>
      <c r="E8" s="2" t="n">
        <f aca="false">COUNTIFS(Jugadores!$C:$C,A8,Jugadores!$F:$F,"Defensa")</f>
        <v>9</v>
      </c>
      <c r="F8" s="2" t="n">
        <f aca="false">COUNTIFS(Jugadores!$C:$C,A8,Jugadores!$F:$F,"Mediocampista")</f>
        <v>10</v>
      </c>
      <c r="G8" s="2" t="n">
        <f aca="false">COUNTIFS(Jugadores!$C:$C,A8,Jugadores!$F:$F,"Delantero")</f>
        <v>6</v>
      </c>
      <c r="H8" s="6" t="n">
        <f aca="false">AVERAGEIFS(Jugadores!$J:$J,Jugadores!$C:$C,A8,Jugadores!$E:$E,"En plantilla")</f>
        <v>25.36</v>
      </c>
      <c r="I8" s="2" t="n">
        <f aca="false">COUNTIFS(Jugadores!$C:$C,A8,Jugadores!$E:$E,"Fuera de plantilla actual")</f>
        <v>3</v>
      </c>
    </row>
    <row r="9" customFormat="false" ht="15" hidden="false" customHeight="false" outlineLevel="0" collapsed="false">
      <c r="A9" s="2" t="s">
        <v>1172</v>
      </c>
      <c r="B9" s="2" t="s">
        <v>58</v>
      </c>
      <c r="C9" s="2" t="n">
        <f aca="false">COUNTIFS(Jugadores!$C:$C,A9,Jugadores!$E:$E,"En plantilla")</f>
        <v>28</v>
      </c>
      <c r="D9" s="2" t="n">
        <f aca="false">COUNTIFS(Jugadores!$C:$C,A9,Jugadores!$F:$F,"Portero")</f>
        <v>5</v>
      </c>
      <c r="E9" s="2" t="n">
        <f aca="false">COUNTIFS(Jugadores!$C:$C,A9,Jugadores!$F:$F,"Defensa")</f>
        <v>5</v>
      </c>
      <c r="F9" s="2" t="n">
        <f aca="false">COUNTIFS(Jugadores!$C:$C,A9,Jugadores!$F:$F,"Mediocampista")</f>
        <v>12</v>
      </c>
      <c r="G9" s="2" t="n">
        <f aca="false">COUNTIFS(Jugadores!$C:$C,A9,Jugadores!$F:$F,"Delantero")</f>
        <v>6</v>
      </c>
      <c r="H9" s="6" t="n">
        <f aca="false">AVERAGEIFS(Jugadores!$J:$J,Jugadores!$C:$C,A9,Jugadores!$E:$E,"En plantilla")</f>
        <v>26.1071428571429</v>
      </c>
      <c r="I9" s="2" t="n">
        <f aca="false">COUNTIFS(Jugadores!$C:$C,A9,Jugadores!$E:$E,"Fuera de plantilla actual")</f>
        <v>0</v>
      </c>
    </row>
    <row r="10" customFormat="false" ht="15" hidden="false" customHeight="false" outlineLevel="0" collapsed="false">
      <c r="A10" s="2" t="s">
        <v>1267</v>
      </c>
      <c r="B10" s="2" t="s">
        <v>58</v>
      </c>
      <c r="C10" s="2" t="n">
        <f aca="false">COUNTIFS(Jugadores!$C:$C,A10,Jugadores!$E:$E,"En plantilla")</f>
        <v>27</v>
      </c>
      <c r="D10" s="2" t="n">
        <f aca="false">COUNTIFS(Jugadores!$C:$C,A10,Jugadores!$F:$F,"Portero")</f>
        <v>5</v>
      </c>
      <c r="E10" s="2" t="n">
        <f aca="false">COUNTIFS(Jugadores!$C:$C,A10,Jugadores!$F:$F,"Defensa")</f>
        <v>13</v>
      </c>
      <c r="F10" s="2" t="n">
        <f aca="false">COUNTIFS(Jugadores!$C:$C,A10,Jugadores!$F:$F,"Mediocampista")</f>
        <v>7</v>
      </c>
      <c r="G10" s="2" t="n">
        <f aca="false">COUNTIFS(Jugadores!$C:$C,A10,Jugadores!$F:$F,"Delantero")</f>
        <v>6</v>
      </c>
      <c r="H10" s="6" t="n">
        <f aca="false">AVERAGEIFS(Jugadores!$J:$J,Jugadores!$C:$C,A10,Jugadores!$E:$E,"En plantilla")</f>
        <v>24.8148148148148</v>
      </c>
      <c r="I10" s="2" t="n">
        <f aca="false">COUNTIFS(Jugadores!$C:$C,A10,Jugadores!$E:$E,"Fuera de plantilla actual")</f>
        <v>4</v>
      </c>
    </row>
    <row r="11" customFormat="false" ht="15" hidden="false" customHeight="false" outlineLevel="0" collapsed="false">
      <c r="A11" s="2" t="s">
        <v>1834</v>
      </c>
      <c r="B11" s="2" t="s">
        <v>58</v>
      </c>
      <c r="C11" s="2" t="n">
        <f aca="false">COUNTIFS(Jugadores!$C:$C,A11,Jugadores!$E:$E,"En plantilla")</f>
        <v>24</v>
      </c>
      <c r="D11" s="2" t="n">
        <f aca="false">COUNTIFS(Jugadores!$C:$C,A11,Jugadores!$F:$F,"Portero")</f>
        <v>3</v>
      </c>
      <c r="E11" s="2" t="n">
        <f aca="false">COUNTIFS(Jugadores!$C:$C,A11,Jugadores!$F:$F,"Defensa")</f>
        <v>7</v>
      </c>
      <c r="F11" s="2" t="n">
        <f aca="false">COUNTIFS(Jugadores!$C:$C,A11,Jugadores!$F:$F,"Mediocampista")</f>
        <v>11</v>
      </c>
      <c r="G11" s="2" t="n">
        <f aca="false">COUNTIFS(Jugadores!$C:$C,A11,Jugadores!$F:$F,"Delantero")</f>
        <v>4</v>
      </c>
      <c r="H11" s="6" t="n">
        <f aca="false">AVERAGEIFS(Jugadores!$J:$J,Jugadores!$C:$C,A11,Jugadores!$E:$E,"En plantilla")</f>
        <v>25.4583333333333</v>
      </c>
      <c r="I11" s="2" t="n">
        <f aca="false">COUNTIFS(Jugadores!$C:$C,A11,Jugadores!$E:$E,"Fuera de plantilla actual")</f>
        <v>1</v>
      </c>
    </row>
    <row r="12" customFormat="false" ht="15" hidden="false" customHeight="false" outlineLevel="0" collapsed="false">
      <c r="A12" s="2" t="s">
        <v>1914</v>
      </c>
      <c r="B12" s="2" t="s">
        <v>58</v>
      </c>
      <c r="C12" s="2" t="n">
        <f aca="false">COUNTIFS(Jugadores!$C:$C,A12,Jugadores!$E:$E,"En plantilla")</f>
        <v>27</v>
      </c>
      <c r="D12" s="2" t="n">
        <f aca="false">COUNTIFS(Jugadores!$C:$C,A12,Jugadores!$F:$F,"Portero")</f>
        <v>3</v>
      </c>
      <c r="E12" s="2" t="n">
        <f aca="false">COUNTIFS(Jugadores!$C:$C,A12,Jugadores!$F:$F,"Defensa")</f>
        <v>7</v>
      </c>
      <c r="F12" s="2" t="n">
        <f aca="false">COUNTIFS(Jugadores!$C:$C,A12,Jugadores!$F:$F,"Mediocampista")</f>
        <v>10</v>
      </c>
      <c r="G12" s="2" t="n">
        <f aca="false">COUNTIFS(Jugadores!$C:$C,A12,Jugadores!$F:$F,"Delantero")</f>
        <v>9</v>
      </c>
      <c r="H12" s="6" t="n">
        <f aca="false">AVERAGEIFS(Jugadores!$J:$J,Jugadores!$C:$C,A12,Jugadores!$E:$E,"En plantilla")</f>
        <v>24.5555555555556</v>
      </c>
      <c r="I12" s="2" t="n">
        <f aca="false">COUNTIFS(Jugadores!$C:$C,A12,Jugadores!$E:$E,"Fuera de plantilla actual")</f>
        <v>2</v>
      </c>
    </row>
    <row r="13" customFormat="false" ht="15" hidden="false" customHeight="false" outlineLevel="0" collapsed="false">
      <c r="A13" s="2" t="s">
        <v>2164</v>
      </c>
      <c r="B13" s="2" t="s">
        <v>58</v>
      </c>
      <c r="C13" s="2" t="n">
        <f aca="false">COUNTIFS(Jugadores!$C:$C,A13,Jugadores!$E:$E,"En plantilla")</f>
        <v>30</v>
      </c>
      <c r="D13" s="2" t="n">
        <f aca="false">COUNTIFS(Jugadores!$C:$C,A13,Jugadores!$F:$F,"Portero")</f>
        <v>3</v>
      </c>
      <c r="E13" s="2" t="n">
        <f aca="false">COUNTIFS(Jugadores!$C:$C,A13,Jugadores!$F:$F,"Defensa")</f>
        <v>11</v>
      </c>
      <c r="F13" s="2" t="n">
        <f aca="false">COUNTIFS(Jugadores!$C:$C,A13,Jugadores!$F:$F,"Mediocampista")</f>
        <v>12</v>
      </c>
      <c r="G13" s="2" t="n">
        <f aca="false">COUNTIFS(Jugadores!$C:$C,A13,Jugadores!$F:$F,"Delantero")</f>
        <v>6</v>
      </c>
      <c r="H13" s="6" t="n">
        <f aca="false">AVERAGEIFS(Jugadores!$J:$J,Jugadores!$C:$C,A13,Jugadores!$E:$E,"En plantilla")</f>
        <v>26.5333333333333</v>
      </c>
      <c r="I13" s="2" t="n">
        <f aca="false">COUNTIFS(Jugadores!$C:$C,A13,Jugadores!$E:$E,"Fuera de plantilla actual")</f>
        <v>2</v>
      </c>
    </row>
    <row r="14" customFormat="false" ht="15" hidden="false" customHeight="false" outlineLevel="0" collapsed="false">
      <c r="A14" s="2" t="s">
        <v>2262</v>
      </c>
      <c r="B14" s="2" t="s">
        <v>58</v>
      </c>
      <c r="C14" s="2" t="n">
        <f aca="false">COUNTIFS(Jugadores!$C:$C,A14,Jugadores!$E:$E,"En plantilla")</f>
        <v>25</v>
      </c>
      <c r="D14" s="2" t="n">
        <f aca="false">COUNTIFS(Jugadores!$C:$C,A14,Jugadores!$F:$F,"Portero")</f>
        <v>2</v>
      </c>
      <c r="E14" s="2" t="n">
        <f aca="false">COUNTIFS(Jugadores!$C:$C,A14,Jugadores!$F:$F,"Defensa")</f>
        <v>13</v>
      </c>
      <c r="F14" s="2" t="n">
        <f aca="false">COUNTIFS(Jugadores!$C:$C,A14,Jugadores!$F:$F,"Mediocampista")</f>
        <v>7</v>
      </c>
      <c r="G14" s="2" t="n">
        <f aca="false">COUNTIFS(Jugadores!$C:$C,A14,Jugadores!$F:$F,"Delantero")</f>
        <v>6</v>
      </c>
      <c r="H14" s="6" t="n">
        <f aca="false">AVERAGEIFS(Jugadores!$J:$J,Jugadores!$C:$C,A14,Jugadores!$E:$E,"En plantilla")</f>
        <v>27.44</v>
      </c>
      <c r="I14" s="2" t="n">
        <f aca="false">COUNTIFS(Jugadores!$C:$C,A14,Jugadores!$E:$E,"Fuera de plantilla actual")</f>
        <v>3</v>
      </c>
    </row>
    <row r="15" customFormat="false" ht="15" hidden="false" customHeight="false" outlineLevel="0" collapsed="false">
      <c r="A15" s="2" t="s">
        <v>340</v>
      </c>
      <c r="B15" s="2" t="s">
        <v>341</v>
      </c>
      <c r="C15" s="2" t="n">
        <f aca="false">COUNTIFS(Jugadores!$C:$C,A15,Jugadores!$E:$E,"En plantilla")</f>
        <v>29</v>
      </c>
      <c r="D15" s="2" t="n">
        <f aca="false">COUNTIFS(Jugadores!$C:$C,A15,Jugadores!$F:$F,"Portero")</f>
        <v>3</v>
      </c>
      <c r="E15" s="2" t="n">
        <f aca="false">COUNTIFS(Jugadores!$C:$C,A15,Jugadores!$F:$F,"Defensa")</f>
        <v>9</v>
      </c>
      <c r="F15" s="2" t="n">
        <f aca="false">COUNTIFS(Jugadores!$C:$C,A15,Jugadores!$F:$F,"Mediocampista")</f>
        <v>9</v>
      </c>
      <c r="G15" s="2" t="n">
        <f aca="false">COUNTIFS(Jugadores!$C:$C,A15,Jugadores!$F:$F,"Delantero")</f>
        <v>10</v>
      </c>
      <c r="H15" s="6" t="n">
        <f aca="false">AVERAGEIFS(Jugadores!$J:$J,Jugadores!$C:$C,A15,Jugadores!$E:$E,"En plantilla")</f>
        <v>26.1034482758621</v>
      </c>
      <c r="I15" s="2" t="n">
        <f aca="false">COUNTIFS(Jugadores!$C:$C,A15,Jugadores!$E:$E,"Fuera de plantilla actual")</f>
        <v>2</v>
      </c>
    </row>
    <row r="16" customFormat="false" ht="15" hidden="false" customHeight="false" outlineLevel="0" collapsed="false">
      <c r="A16" s="2" t="s">
        <v>538</v>
      </c>
      <c r="B16" s="2" t="s">
        <v>341</v>
      </c>
      <c r="C16" s="2" t="n">
        <f aca="false">COUNTIFS(Jugadores!$C:$C,A16,Jugadores!$E:$E,"En plantilla")</f>
        <v>30</v>
      </c>
      <c r="D16" s="2" t="n">
        <f aca="false">COUNTIFS(Jugadores!$C:$C,A16,Jugadores!$F:$F,"Portero")</f>
        <v>4</v>
      </c>
      <c r="E16" s="2" t="n">
        <f aca="false">COUNTIFS(Jugadores!$C:$C,A16,Jugadores!$F:$F,"Defensa")</f>
        <v>11</v>
      </c>
      <c r="F16" s="2" t="n">
        <f aca="false">COUNTIFS(Jugadores!$C:$C,A16,Jugadores!$F:$F,"Mediocampista")</f>
        <v>7</v>
      </c>
      <c r="G16" s="2" t="n">
        <f aca="false">COUNTIFS(Jugadores!$C:$C,A16,Jugadores!$F:$F,"Delantero")</f>
        <v>8</v>
      </c>
      <c r="H16" s="6" t="n">
        <f aca="false">AVERAGEIFS(Jugadores!$J:$J,Jugadores!$C:$C,A16,Jugadores!$E:$E,"En plantilla")</f>
        <v>26.2666666666667</v>
      </c>
      <c r="I16" s="2" t="n">
        <f aca="false">COUNTIFS(Jugadores!$C:$C,A16,Jugadores!$E:$E,"Fuera de plantilla actual")</f>
        <v>0</v>
      </c>
    </row>
    <row r="17" customFormat="false" ht="15" hidden="false" customHeight="false" outlineLevel="0" collapsed="false">
      <c r="A17" s="2" t="s">
        <v>644</v>
      </c>
      <c r="B17" s="2" t="s">
        <v>341</v>
      </c>
      <c r="C17" s="2" t="n">
        <f aca="false">COUNTIFS(Jugadores!$C:$C,A17,Jugadores!$E:$E,"En plantilla")</f>
        <v>28</v>
      </c>
      <c r="D17" s="2" t="n">
        <f aca="false">COUNTIFS(Jugadores!$C:$C,A17,Jugadores!$F:$F,"Portero")</f>
        <v>3</v>
      </c>
      <c r="E17" s="2" t="n">
        <f aca="false">COUNTIFS(Jugadores!$C:$C,A17,Jugadores!$F:$F,"Defensa")</f>
        <v>9</v>
      </c>
      <c r="F17" s="2" t="n">
        <f aca="false">COUNTIFS(Jugadores!$C:$C,A17,Jugadores!$F:$F,"Mediocampista")</f>
        <v>10</v>
      </c>
      <c r="G17" s="2" t="n">
        <f aca="false">COUNTIFS(Jugadores!$C:$C,A17,Jugadores!$F:$F,"Delantero")</f>
        <v>7</v>
      </c>
      <c r="H17" s="6" t="n">
        <f aca="false">AVERAGEIFS(Jugadores!$J:$J,Jugadores!$C:$C,A17,Jugadores!$E:$E,"En plantilla")</f>
        <v>25.8214285714286</v>
      </c>
      <c r="I17" s="2" t="n">
        <f aca="false">COUNTIFS(Jugadores!$C:$C,A17,Jugadores!$E:$E,"Fuera de plantilla actual")</f>
        <v>1</v>
      </c>
    </row>
    <row r="18" customFormat="false" ht="15" hidden="false" customHeight="false" outlineLevel="0" collapsed="false">
      <c r="A18" s="2" t="s">
        <v>923</v>
      </c>
      <c r="B18" s="2" t="s">
        <v>341</v>
      </c>
      <c r="C18" s="2" t="n">
        <f aca="false">COUNTIFS(Jugadores!$C:$C,A18,Jugadores!$E:$E,"En plantilla")</f>
        <v>23</v>
      </c>
      <c r="D18" s="2" t="n">
        <f aca="false">COUNTIFS(Jugadores!$C:$C,A18,Jugadores!$F:$F,"Portero")</f>
        <v>6</v>
      </c>
      <c r="E18" s="2" t="n">
        <f aca="false">COUNTIFS(Jugadores!$C:$C,A18,Jugadores!$F:$F,"Defensa")</f>
        <v>9</v>
      </c>
      <c r="F18" s="2" t="n">
        <f aca="false">COUNTIFS(Jugadores!$C:$C,A18,Jugadores!$F:$F,"Mediocampista")</f>
        <v>9</v>
      </c>
      <c r="G18" s="2" t="n">
        <f aca="false">COUNTIFS(Jugadores!$C:$C,A18,Jugadores!$F:$F,"Delantero")</f>
        <v>5</v>
      </c>
      <c r="H18" s="6" t="n">
        <f aca="false">AVERAGEIFS(Jugadores!$J:$J,Jugadores!$C:$C,A18,Jugadores!$E:$E,"En plantilla")</f>
        <v>25.9565217391304</v>
      </c>
      <c r="I18" s="2" t="n">
        <f aca="false">COUNTIFS(Jugadores!$C:$C,A18,Jugadores!$E:$E,"Fuera de plantilla actual")</f>
        <v>6</v>
      </c>
    </row>
    <row r="19" customFormat="false" ht="15" hidden="false" customHeight="false" outlineLevel="0" collapsed="false">
      <c r="A19" s="2" t="s">
        <v>998</v>
      </c>
      <c r="B19" s="2" t="s">
        <v>341</v>
      </c>
      <c r="C19" s="2" t="n">
        <f aca="false">COUNTIFS(Jugadores!$C:$C,A19,Jugadores!$E:$E,"En plantilla")</f>
        <v>27</v>
      </c>
      <c r="D19" s="2" t="n">
        <f aca="false">COUNTIFS(Jugadores!$C:$C,A19,Jugadores!$F:$F,"Portero")</f>
        <v>4</v>
      </c>
      <c r="E19" s="2" t="n">
        <f aca="false">COUNTIFS(Jugadores!$C:$C,A19,Jugadores!$F:$F,"Defensa")</f>
        <v>8</v>
      </c>
      <c r="F19" s="2" t="n">
        <f aca="false">COUNTIFS(Jugadores!$C:$C,A19,Jugadores!$F:$F,"Mediocampista")</f>
        <v>9</v>
      </c>
      <c r="G19" s="2" t="n">
        <f aca="false">COUNTIFS(Jugadores!$C:$C,A19,Jugadores!$F:$F,"Delantero")</f>
        <v>7</v>
      </c>
      <c r="H19" s="6" t="n">
        <f aca="false">AVERAGEIFS(Jugadores!$J:$J,Jugadores!$C:$C,A19,Jugadores!$E:$E,"En plantilla")</f>
        <v>24.9259259259259</v>
      </c>
      <c r="I19" s="2" t="n">
        <f aca="false">COUNTIFS(Jugadores!$C:$C,A19,Jugadores!$E:$E,"Fuera de plantilla actual")</f>
        <v>1</v>
      </c>
    </row>
    <row r="20" customFormat="false" ht="15" hidden="false" customHeight="false" outlineLevel="0" collapsed="false">
      <c r="A20" s="2" t="s">
        <v>1358</v>
      </c>
      <c r="B20" s="2" t="s">
        <v>341</v>
      </c>
      <c r="C20" s="2" t="n">
        <f aca="false">COUNTIFS(Jugadores!$C:$C,A20,Jugadores!$E:$E,"En plantilla")</f>
        <v>29</v>
      </c>
      <c r="D20" s="2" t="n">
        <f aca="false">COUNTIFS(Jugadores!$C:$C,A20,Jugadores!$F:$F,"Portero")</f>
        <v>3</v>
      </c>
      <c r="E20" s="2" t="n">
        <f aca="false">COUNTIFS(Jugadores!$C:$C,A20,Jugadores!$F:$F,"Defensa")</f>
        <v>10</v>
      </c>
      <c r="F20" s="2" t="n">
        <f aca="false">COUNTIFS(Jugadores!$C:$C,A20,Jugadores!$F:$F,"Mediocampista")</f>
        <v>11</v>
      </c>
      <c r="G20" s="2" t="n">
        <f aca="false">COUNTIFS(Jugadores!$C:$C,A20,Jugadores!$F:$F,"Delantero")</f>
        <v>8</v>
      </c>
      <c r="H20" s="6" t="n">
        <f aca="false">AVERAGEIFS(Jugadores!$J:$J,Jugadores!$C:$C,A20,Jugadores!$E:$E,"En plantilla")</f>
        <v>23.9310344827586</v>
      </c>
      <c r="I20" s="2" t="n">
        <f aca="false">COUNTIFS(Jugadores!$C:$C,A20,Jugadores!$E:$E,"Fuera de plantilla actual")</f>
        <v>3</v>
      </c>
    </row>
    <row r="21" customFormat="false" ht="15" hidden="false" customHeight="false" outlineLevel="0" collapsed="false">
      <c r="A21" s="2" t="s">
        <v>1454</v>
      </c>
      <c r="B21" s="2" t="s">
        <v>341</v>
      </c>
      <c r="C21" s="2" t="n">
        <f aca="false">COUNTIFS(Jugadores!$C:$C,A21,Jugadores!$E:$E,"En plantilla")</f>
        <v>26</v>
      </c>
      <c r="D21" s="2" t="n">
        <f aca="false">COUNTIFS(Jugadores!$C:$C,A21,Jugadores!$F:$F,"Portero")</f>
        <v>4</v>
      </c>
      <c r="E21" s="2" t="n">
        <f aca="false">COUNTIFS(Jugadores!$C:$C,A21,Jugadores!$F:$F,"Defensa")</f>
        <v>8</v>
      </c>
      <c r="F21" s="2" t="n">
        <f aca="false">COUNTIFS(Jugadores!$C:$C,A21,Jugadores!$F:$F,"Mediocampista")</f>
        <v>9</v>
      </c>
      <c r="G21" s="2" t="n">
        <f aca="false">COUNTIFS(Jugadores!$C:$C,A21,Jugadores!$F:$F,"Delantero")</f>
        <v>8</v>
      </c>
      <c r="H21" s="6" t="n">
        <f aca="false">AVERAGEIFS(Jugadores!$J:$J,Jugadores!$C:$C,A21,Jugadores!$E:$E,"En plantilla")</f>
        <v>25.9615384615385</v>
      </c>
      <c r="I21" s="2" t="n">
        <f aca="false">COUNTIFS(Jugadores!$C:$C,A21,Jugadores!$E:$E,"Fuera de plantilla actual")</f>
        <v>3</v>
      </c>
    </row>
    <row r="22" customFormat="false" ht="15" hidden="false" customHeight="false" outlineLevel="0" collapsed="false">
      <c r="A22" s="2" t="s">
        <v>1539</v>
      </c>
      <c r="B22" s="2" t="s">
        <v>341</v>
      </c>
      <c r="C22" s="2" t="n">
        <f aca="false">COUNTIFS(Jugadores!$C:$C,A22,Jugadores!$E:$E,"En plantilla")</f>
        <v>30</v>
      </c>
      <c r="D22" s="2" t="n">
        <f aca="false">COUNTIFS(Jugadores!$C:$C,A22,Jugadores!$F:$F,"Portero")</f>
        <v>4</v>
      </c>
      <c r="E22" s="2" t="n">
        <f aca="false">COUNTIFS(Jugadores!$C:$C,A22,Jugadores!$F:$F,"Defensa")</f>
        <v>10</v>
      </c>
      <c r="F22" s="2" t="n">
        <f aca="false">COUNTIFS(Jugadores!$C:$C,A22,Jugadores!$F:$F,"Mediocampista")</f>
        <v>14</v>
      </c>
      <c r="G22" s="2" t="n">
        <f aca="false">COUNTIFS(Jugadores!$C:$C,A22,Jugadores!$F:$F,"Delantero")</f>
        <v>5</v>
      </c>
      <c r="H22" s="6" t="n">
        <f aca="false">AVERAGEIFS(Jugadores!$J:$J,Jugadores!$C:$C,A22,Jugadores!$E:$E,"En plantilla")</f>
        <v>24.1333333333333</v>
      </c>
      <c r="I22" s="2" t="n">
        <f aca="false">COUNTIFS(Jugadores!$C:$C,A22,Jugadores!$E:$E,"Fuera de plantilla actual")</f>
        <v>3</v>
      </c>
    </row>
    <row r="23" customFormat="false" ht="15" hidden="false" customHeight="false" outlineLevel="0" collapsed="false">
      <c r="A23" s="2" t="s">
        <v>1633</v>
      </c>
      <c r="B23" s="2" t="s">
        <v>341</v>
      </c>
      <c r="C23" s="2" t="n">
        <f aca="false">COUNTIFS(Jugadores!$C:$C,A23,Jugadores!$E:$E,"En plantilla")</f>
        <v>31</v>
      </c>
      <c r="D23" s="2" t="n">
        <f aca="false">COUNTIFS(Jugadores!$C:$C,A23,Jugadores!$F:$F,"Portero")</f>
        <v>3</v>
      </c>
      <c r="E23" s="2" t="n">
        <f aca="false">COUNTIFS(Jugadores!$C:$C,A23,Jugadores!$F:$F,"Defensa")</f>
        <v>12</v>
      </c>
      <c r="F23" s="2" t="n">
        <f aca="false">COUNTIFS(Jugadores!$C:$C,A23,Jugadores!$F:$F,"Mediocampista")</f>
        <v>7</v>
      </c>
      <c r="G23" s="2" t="n">
        <f aca="false">COUNTIFS(Jugadores!$C:$C,A23,Jugadores!$F:$F,"Delantero")</f>
        <v>11</v>
      </c>
      <c r="H23" s="6" t="n">
        <f aca="false">AVERAGEIFS(Jugadores!$J:$J,Jugadores!$C:$C,A23,Jugadores!$E:$E,"En plantilla")</f>
        <v>22.258064516129</v>
      </c>
      <c r="I23" s="2" t="n">
        <f aca="false">COUNTIFS(Jugadores!$C:$C,A23,Jugadores!$E:$E,"Fuera de plantilla actual")</f>
        <v>2</v>
      </c>
    </row>
    <row r="24" customFormat="false" ht="15" hidden="false" customHeight="false" outlineLevel="0" collapsed="false">
      <c r="A24" s="2" t="s">
        <v>1733</v>
      </c>
      <c r="B24" s="2" t="s">
        <v>341</v>
      </c>
      <c r="C24" s="2" t="n">
        <f aca="false">COUNTIFS(Jugadores!$C:$C,A24,Jugadores!$E:$E,"En plantilla")</f>
        <v>30</v>
      </c>
      <c r="D24" s="2" t="n">
        <f aca="false">COUNTIFS(Jugadores!$C:$C,A24,Jugadores!$F:$F,"Portero")</f>
        <v>3</v>
      </c>
      <c r="E24" s="2" t="n">
        <f aca="false">COUNTIFS(Jugadores!$C:$C,A24,Jugadores!$F:$F,"Defensa")</f>
        <v>13</v>
      </c>
      <c r="F24" s="2" t="n">
        <f aca="false">COUNTIFS(Jugadores!$C:$C,A24,Jugadores!$F:$F,"Mediocampista")</f>
        <v>7</v>
      </c>
      <c r="G24" s="2" t="n">
        <f aca="false">COUNTIFS(Jugadores!$C:$C,A24,Jugadores!$F:$F,"Delantero")</f>
        <v>12</v>
      </c>
      <c r="H24" s="6" t="n">
        <f aca="false">AVERAGEIFS(Jugadores!$J:$J,Jugadores!$C:$C,A24,Jugadores!$E:$E,"En plantilla")</f>
        <v>22.9333333333333</v>
      </c>
      <c r="I24" s="2" t="n">
        <f aca="false">COUNTIFS(Jugadores!$C:$C,A24,Jugadores!$E:$E,"Fuera de plantilla actual")</f>
        <v>5</v>
      </c>
    </row>
    <row r="25" customFormat="false" ht="15" hidden="false" customHeight="false" outlineLevel="0" collapsed="false">
      <c r="A25" s="2" t="s">
        <v>1998</v>
      </c>
      <c r="B25" s="2" t="s">
        <v>341</v>
      </c>
      <c r="C25" s="2" t="n">
        <f aca="false">COUNTIFS(Jugadores!$C:$C,A25,Jugadores!$E:$E,"En plantilla")</f>
        <v>25</v>
      </c>
      <c r="D25" s="2" t="n">
        <f aca="false">COUNTIFS(Jugadores!$C:$C,A25,Jugadores!$F:$F,"Portero")</f>
        <v>3</v>
      </c>
      <c r="E25" s="2" t="n">
        <f aca="false">COUNTIFS(Jugadores!$C:$C,A25,Jugadores!$F:$F,"Defensa")</f>
        <v>11</v>
      </c>
      <c r="F25" s="2" t="n">
        <f aca="false">COUNTIFS(Jugadores!$C:$C,A25,Jugadores!$F:$F,"Mediocampista")</f>
        <v>8</v>
      </c>
      <c r="G25" s="2" t="n">
        <f aca="false">COUNTIFS(Jugadores!$C:$C,A25,Jugadores!$F:$F,"Delantero")</f>
        <v>6</v>
      </c>
      <c r="H25" s="6" t="n">
        <f aca="false">AVERAGEIFS(Jugadores!$J:$J,Jugadores!$C:$C,A25,Jugadores!$E:$E,"En plantilla")</f>
        <v>26.36</v>
      </c>
      <c r="I25" s="2" t="n">
        <f aca="false">COUNTIFS(Jugadores!$C:$C,A25,Jugadores!$E:$E,"Fuera de plantilla actual")</f>
        <v>3</v>
      </c>
    </row>
    <row r="26" customFormat="false" ht="15" hidden="false" customHeight="false" outlineLevel="0" collapsed="false">
      <c r="A26" s="2" t="s">
        <v>2078</v>
      </c>
      <c r="B26" s="2" t="s">
        <v>341</v>
      </c>
      <c r="C26" s="2" t="n">
        <f aca="false">COUNTIFS(Jugadores!$C:$C,A26,Jugadores!$E:$E,"En plantilla")</f>
        <v>28</v>
      </c>
      <c r="D26" s="2" t="n">
        <f aca="false">COUNTIFS(Jugadores!$C:$C,A26,Jugadores!$F:$F,"Portero")</f>
        <v>4</v>
      </c>
      <c r="E26" s="2" t="n">
        <f aca="false">COUNTIFS(Jugadores!$C:$C,A26,Jugadores!$F:$F,"Defensa")</f>
        <v>10</v>
      </c>
      <c r="F26" s="2" t="n">
        <f aca="false">COUNTIFS(Jugadores!$C:$C,A26,Jugadores!$F:$F,"Mediocampista")</f>
        <v>7</v>
      </c>
      <c r="G26" s="2" t="n">
        <f aca="false">COUNTIFS(Jugadores!$C:$C,A26,Jugadores!$F:$F,"Delantero")</f>
        <v>9</v>
      </c>
      <c r="H26" s="6" t="n">
        <f aca="false">AVERAGEIFS(Jugadores!$J:$J,Jugadores!$C:$C,A26,Jugadores!$E:$E,"En plantilla")</f>
        <v>26.4285714285714</v>
      </c>
      <c r="I26" s="2" t="n">
        <f aca="false">COUNTIFS(Jugadores!$C:$C,A26,Jugadores!$E:$E,"Fuera de plantilla actual")</f>
        <v>2</v>
      </c>
    </row>
    <row r="27" customFormat="false" ht="15" hidden="false" customHeight="false" outlineLevel="0" collapsed="false">
      <c r="A27" s="7" t="s">
        <v>2481</v>
      </c>
      <c r="B27" s="7"/>
      <c r="C27" s="7" t="n">
        <f aca="false">SUM(C2:C26)</f>
        <v>669</v>
      </c>
      <c r="D27" s="7" t="n">
        <f aca="false">SUM(D2:D26)</f>
        <v>85</v>
      </c>
      <c r="E27" s="7" t="n">
        <f aca="false">SUM(E2:E26)</f>
        <v>235</v>
      </c>
      <c r="F27" s="7" t="n">
        <f aca="false">SUM(F2:F26)</f>
        <v>220</v>
      </c>
      <c r="G27" s="7" t="n">
        <f aca="false">SUM(G2:G26)</f>
        <v>185</v>
      </c>
      <c r="H27" s="8" t="n">
        <f aca="false">AVERAGEIFS(Jugadores!$J:$J,Jugadores!$E:$E,"En plantilla")</f>
        <v>25.50822122571</v>
      </c>
      <c r="I27" s="7" t="n">
        <f aca="false">SUM(I2:I26)</f>
        <v>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10"/>
  </cols>
  <sheetData>
    <row r="1" customFormat="false" ht="15" hidden="false" customHeight="false" outlineLevel="0" collapsed="false">
      <c r="A1" s="9" t="s">
        <v>2482</v>
      </c>
      <c r="B1" s="9" t="s">
        <v>2483</v>
      </c>
    </row>
    <row r="2" customFormat="false" ht="23.85" hidden="false" customHeight="false" outlineLevel="0" collapsed="false">
      <c r="A2" s="10" t="s">
        <v>2484</v>
      </c>
      <c r="B2" s="11" t="s">
        <v>2485</v>
      </c>
    </row>
    <row r="3" customFormat="false" ht="15" hidden="false" customHeight="false" outlineLevel="0" collapsed="false">
      <c r="A3" s="10" t="s">
        <v>2486</v>
      </c>
      <c r="B3" s="11" t="s">
        <v>2487</v>
      </c>
    </row>
    <row r="4" customFormat="false" ht="23.85" hidden="false" customHeight="false" outlineLevel="0" collapsed="false">
      <c r="A4" s="10" t="s">
        <v>2488</v>
      </c>
      <c r="B4" s="11" t="s">
        <v>2489</v>
      </c>
    </row>
    <row r="5" customFormat="false" ht="23.85" hidden="false" customHeight="false" outlineLevel="0" collapsed="false">
      <c r="A5" s="10" t="s">
        <v>2490</v>
      </c>
      <c r="B5" s="11" t="s">
        <v>2491</v>
      </c>
    </row>
    <row r="6" customFormat="false" ht="15" hidden="false" customHeight="false" outlineLevel="0" collapsed="false">
      <c r="A6" s="10" t="s">
        <v>13</v>
      </c>
      <c r="B6" s="11" t="s">
        <v>2492</v>
      </c>
    </row>
    <row r="7" customFormat="false" ht="15" hidden="false" customHeight="false" outlineLevel="0" collapsed="false">
      <c r="A7" s="10" t="s">
        <v>998</v>
      </c>
      <c r="B7" s="11" t="s">
        <v>2493</v>
      </c>
    </row>
    <row r="8" customFormat="false" ht="15" hidden="false" customHeight="false" outlineLevel="0" collapsed="false">
      <c r="A8" s="10" t="s">
        <v>2494</v>
      </c>
      <c r="B8" s="11" t="s">
        <v>2495</v>
      </c>
    </row>
    <row r="9" customFormat="false" ht="15" hidden="false" customHeight="false" outlineLevel="0" collapsed="false">
      <c r="A9" s="10" t="s">
        <v>2496</v>
      </c>
      <c r="B9" s="11" t="s">
        <v>2497</v>
      </c>
    </row>
    <row r="10" customFormat="false" ht="15" hidden="false" customHeight="false" outlineLevel="0" collapsed="false">
      <c r="A10" s="10" t="s">
        <v>2498</v>
      </c>
      <c r="B10" s="11" t="s">
        <v>2499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2026-09-30T16:35:49Z</dcterms:created>
  <dc:creator>openpyxl</dc:creator>
  <dc:description/>
  <dc:language>en-US</dc:language>
  <cp:lastModifiedBy/>
  <dcterms:modified xsi:type="dcterms:W3CDTF">2026-09-30T16:35:50Z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